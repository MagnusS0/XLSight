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2"/>
  </bookViews>
  <sheets>
    <sheet r:id="rId1" name="Calculator" sheetId="1"/>
    <sheet r:id="rId2" name="Charts" sheetId="2"/>
    <sheet r:id="rId3" name="Scenarios" sheetId="3"/>
    <sheet r:id="rId4" name="Pivot-Analysis" sheetId="4"/>
  </sheets>
  <calcPr calcId="0" iterateCount="100" iterateDelta="0.001"/>
  <pivotCaches>
    <pivotCache cacheId="1" r:id="rId7"/>
  </pivotCaches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<sst xmlns="http://schemas.openxmlformats.org/spreadsheetml/2006/main" count="91" uniqueCount="91">
  <si>
    <t>Retirement Savings Calculator</t>
  </si>
  <si>
    <t>INPUTS &amp; ASSUMPTIONS</t>
  </si>
  <si>
    <t>YEAR-BY-YEAR PROJECTION</t>
  </si>
  <si>
    <t>Year</t>
  </si>
  <si>
    <t>Age</t>
  </si>
  <si>
    <t>Starting Balance</t>
  </si>
  <si>
    <t>Contribution</t>
  </si>
  <si>
    <t>Investment Return</t>
  </si>
  <si>
    <t>Inflation Adj.</t>
  </si>
  <si>
    <t>Ending Balance</t>
  </si>
  <si>
    <t>Current Age</t>
  </si>
  <si>
    <t>Retirement Age</t>
  </si>
  <si>
    <t>Current Savings ($)</t>
  </si>
  <si>
    <t>Annual Contribution ($)</t>
  </si>
  <si>
    <t>Annual Contribution Increase (%)</t>
  </si>
  <si>
    <t>Expected Annual Return (%)</t>
  </si>
  <si>
    <t>Inflation Rate (%)</t>
  </si>
  <si>
    <t>Annual Retirement Spending ($)</t>
  </si>
  <si>
    <t>Life Expectancy</t>
  </si>
  <si>
    <t>SUMMARY</t>
  </si>
  <si>
    <t>Years to Retirement</t>
  </si>
  <si>
    <t>Years in Retirement</t>
  </si>
  <si>
    <t>Real Return Rate (%)</t>
  </si>
  <si>
    <t>Savings at Retirement (Nominal)</t>
  </si>
  <si>
    <t>Savings at Retirement (Today's $)</t>
  </si>
  <si>
    <t>Total Contributions</t>
  </si>
  <si>
    <t>Total Investment Growth</t>
  </si>
  <si>
    <t>Required Nest Egg (Today's $)</t>
  </si>
  <si>
    <t>Surplus / (Shortfall) (Today's $)</t>
  </si>
  <si>
    <t>SENSITIVITY ANALYSIS — Surplus / (Shortfall) in Today's $</t>
  </si>
  <si>
    <t>Inflation Rate →</t>
  </si>
  <si>
    <t>Return Rate ↓</t>
  </si>
  <si>
    <t>N/A</t>
  </si>
  <si>
    <t>RETIREMENT SAVINGS — CHARTS</t>
  </si>
  <si>
    <t>Investment Growth</t>
  </si>
  <si>
    <t>Component</t>
  </si>
  <si>
    <t>Amount</t>
  </si>
  <si>
    <t>Annual Contribution</t>
  </si>
  <si>
    <t>Annual Return</t>
  </si>
  <si>
    <t>Initial Savings</t>
  </si>
  <si>
    <t>Retirement Scenario Analysis</t>
  </si>
  <si>
    <t>Scenario</t>
  </si>
  <si>
    <t>Risk Profile</t>
  </si>
  <si>
    <t>Age Group</t>
  </si>
  <si>
    <t>Starting Age</t>
  </si>
  <si>
    <t>Return Rate</t>
  </si>
  <si>
    <t>Inflation Rate</t>
  </si>
  <si>
    <t>Years to Retire</t>
  </si>
  <si>
    <t>Savings at Retirement</t>
  </si>
  <si>
    <t>Required Nest Egg</t>
  </si>
  <si>
    <t>Surplus / (Shortfall)</t>
  </si>
  <si>
    <t>Conservative Early Start</t>
  </si>
  <si>
    <t>Conservative</t>
  </si>
  <si>
    <t>Young (25-35)</t>
  </si>
  <si>
    <t>Conservative Moderate Save</t>
  </si>
  <si>
    <t>Conservative Max Save</t>
  </si>
  <si>
    <t>Conservative Aggressive Save</t>
  </si>
  <si>
    <t>Conservative Late Starter</t>
  </si>
  <si>
    <t>Mid-Career (36-45)</t>
  </si>
  <si>
    <t>Conservative Catch-Up</t>
  </si>
  <si>
    <t>Conservative Steady</t>
  </si>
  <si>
    <t>Conservative High Save</t>
  </si>
  <si>
    <t>Moderate Early Start</t>
  </si>
  <si>
    <t>Moderate</t>
  </si>
  <si>
    <t>Moderate Standard</t>
  </si>
  <si>
    <t>Moderate High Save</t>
  </si>
  <si>
    <t>Moderate Late 20s</t>
  </si>
  <si>
    <t>Moderate Mid Start</t>
  </si>
  <si>
    <t>Moderate Mid Catch-Up</t>
  </si>
  <si>
    <t>Moderate Mid Steady</t>
  </si>
  <si>
    <t>Moderate Mid Max</t>
  </si>
  <si>
    <t>Aggressive Early Start</t>
  </si>
  <si>
    <t>Aggressive</t>
  </si>
  <si>
    <t>Aggressive Standard</t>
  </si>
  <si>
    <t>Aggressive High Save</t>
  </si>
  <si>
    <t>Aggressive Bold</t>
  </si>
  <si>
    <t>Aggressive Mid Start</t>
  </si>
  <si>
    <t>Aggressive Mid Catch-Up</t>
  </si>
  <si>
    <t>Aggressive Mid Steady</t>
  </si>
  <si>
    <t>Aggressive Mid Max</t>
  </si>
  <si>
    <t>SCENARIO PIVOT ANALYSIS</t>
  </si>
  <si>
    <t>Avg Savings at Retirement</t>
  </si>
  <si>
    <t>Avg Required Nest Egg</t>
  </si>
  <si>
    <t>Avg Surplus / (Shortfall)</t>
  </si>
  <si>
    <t>Max Surplus</t>
  </si>
  <si>
    <t>Min Surplus</t>
  </si>
  <si>
    <t># Scenarios</t>
  </si>
  <si>
    <t>Aggressive Total</t>
  </si>
  <si>
    <t>Moderate Total</t>
  </si>
  <si>
    <t>Conservative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</si>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</sst>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3224" formatCode="_([$$-409]* #,##0.00_);_([$$-409]* (#,##0.00);_([$$-409]* &quot;-&quot;??_);_(@_)"/>
    <numFmt numFmtId="13408" formatCode="0.0%"/>
  </numFmts>
  <fonts count="15">
    <font>
      <b val="0"/>
      <i val="0"/>
      <sz val="12"/>
      <color theme="1"/>
      <name val="Aptos Narrow"/>
      <scheme val="minor"/>
    </font>
    <font>
      <b/>
      <i val="0"/>
      <sz val="16"/>
      <color theme="1"/>
      <name val="Aptos Narrow"/>
    </font>
    <font>
      <b/>
      <i val="0"/>
      <sz val="12"/>
      <color theme="1"/>
      <name val="Aptos Narrow"/>
    </font>
    <font>
      <b/>
      <i val="0"/>
      <sz val="11"/>
      <color rgb="FFFFFFFF"/>
      <name val="Aptos Narrow"/>
    </font>
    <font>
      <b val="0"/>
      <i val="0"/>
      <sz val="12"/>
      <color theme="1"/>
      <name val="Aptos Narrow"/>
    </font>
    <font>
      <b val="0"/>
      <i val="0"/>
      <sz val="12"/>
      <color rgb="FF0000FF"/>
      <name val="Aptos Narrow"/>
    </font>
    <font>
      <b val="0"/>
      <i val="0"/>
      <sz val="11"/>
      <color theme="1"/>
      <name val="Aptos Narrow"/>
    </font>
    <font>
      <b val="0"/>
      <i val="0"/>
      <sz val="11"/>
      <color theme="1"/>
      <name val="Aptos Narrow"/>
      <scheme val="minor"/>
    </font>
    <font>
      <b val="0"/>
      <i val="0"/>
      <sz val="12"/>
      <color rgb="FF000000"/>
      <name val="Aptos Narrow"/>
    </font>
    <font>
      <b/>
      <i val="0"/>
      <sz val="11"/>
      <color theme="1"/>
      <name val="Aptos Narrow"/>
    </font>
    <font>
      <b/>
      <sz val="11"/>
      <color rgb="FFFFFFFF"/>
      <name val="Aptos Narrow"/>
    </font>
    <font>
      <name val="Calibri"/>
      <scheme val="minor"/>
    </font>
    <font>
      <b/>
      <sz val="16"/>
      <name val="Aptos Narrow"/>
    </font>
    <font>
      <sz val="11"/>
      <name val="Aptos Narrow"/>
    </font>
    <font>
      <b/>
      <sz val="14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CE6F1"/>
      </patternFill>
    </fill>
    <fill>
      <patternFill patternType="solid">
        <fgColor rgb="FFD9E2F3"/>
      </patternFill>
    </fill>
  </fills>
  <borders count="6">
    <border>
      <left/>
      <right/>
      <top/>
      <bottom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1">
    <xf numFmtId="0" fontId="0" fillId="0" borderId="1"/>
  </cellStyleXfs>
  <cellXfs count="40">
    <xf numFmtId="0" fontId="0" fillId="0" borderId="1" xfId="0"/>
    <xf numFmtId="0" fontId="1" fillId="0" borderId="1" xfId="0"/>
    <xf numFmtId="0" fontId="2" fillId="0" borderId="2" xfId="0"/>
    <xf numFmtId="0" fontId="0" fillId="0" borderId="2" xfId="0"/>
    <xf numFmtId="0" fontId="3" fillId="2" borderId="3" xfId="0">
      <alignment horizontal="center" vertical="bottom"/>
    </xf>
    <xf numFmtId="0" fontId="4" fillId="0" borderId="1" xfId="0">
      <alignment horizontal="left" vertical="bottom" indent="1"/>
    </xf>
    <xf numFmtId="0" fontId="5" fillId="3" borderId="1" xfId="0">
      <alignment horizontal="center" vertical="bottom"/>
    </xf>
    <xf numFmtId="0" fontId="6" fillId="4" borderId="1" xfId="0">
      <alignment horizontal="center" vertical="bottom"/>
    </xf>
    <xf numFmtId="13224" fontId="6" fillId="4" borderId="1" xfId="0"/>
    <xf numFmtId="0" fontId="6" fillId="0" borderId="1" xfId="0">
      <alignment horizontal="center" vertical="bottom"/>
    </xf>
    <xf numFmtId="13224" fontId="6" fillId="0" borderId="1" xfId="0"/>
    <xf numFmtId="13224" fontId="5" fillId="3" borderId="1" xfId="0">
      <alignment horizontal="center" vertical="bottom"/>
    </xf>
    <xf numFmtId="0" fontId="7" fillId="4" borderId="1" xfId="0">
      <alignment horizontal="center" vertical="bottom"/>
    </xf>
    <xf numFmtId="0" fontId="7" fillId="0" borderId="1" xfId="0">
      <alignment horizontal="center" vertical="bottom"/>
    </xf>
    <xf numFmtId="10" fontId="5" fillId="3" borderId="1" xfId="0">
      <alignment horizontal="center" vertical="bottom"/>
    </xf>
    <xf numFmtId="3" fontId="8" fillId="0" borderId="1" xfId="0">
      <alignment horizontal="center" vertical="bottom"/>
    </xf>
    <xf numFmtId="10" fontId="8" fillId="0" borderId="1" xfId="0">
      <alignment horizontal="center" vertical="bottom"/>
    </xf>
    <xf numFmtId="13224" fontId="8" fillId="0" borderId="1" xfId="0">
      <alignment horizontal="center" vertical="bottom"/>
    </xf>
    <xf numFmtId="0" fontId="2" fillId="0" borderId="1" xfId="0">
      <alignment horizontal="left" vertical="bottom" indent="1"/>
    </xf>
    <xf numFmtId="13224" fontId="8" fillId="0" borderId="4" xfId="0">
      <alignment horizontal="center" vertical="bottom"/>
    </xf>
    <xf numFmtId="0" fontId="0" fillId="4" borderId="1" xfId="0">
      <alignment horizontal="center" vertical="bottom"/>
    </xf>
    <xf numFmtId="13224" fontId="0" fillId="4" borderId="1" xfId="0"/>
    <xf numFmtId="0" fontId="0" fillId="0" borderId="1" xfId="0">
      <alignment horizontal="center" vertical="bottom"/>
    </xf>
    <xf numFmtId="13224" fontId="0" fillId="0" borderId="1" xfId="0"/>
    <xf numFmtId="0" fontId="9" fillId="0" borderId="1" xfId="0">
      <alignment horizontal="right" vertical="bottom"/>
    </xf>
    <xf numFmtId="13408" fontId="3" fillId="2" borderId="1" xfId="0">
      <alignment horizontal="center" vertical="bottom"/>
    </xf>
    <xf numFmtId="0" fontId="9" fillId="0" borderId="1" xfId="0">
      <alignment horizontal="center" vertical="bottom"/>
    </xf>
    <xf numFmtId="13224" fontId="6" fillId="0" borderId="5" xfId="0"/>
    <xf numFmtId="0" fontId="10" fillId="2" borderId="0" xfId="0">
      <alignment vertical="top"/>
    </xf>
    <xf numFmtId="3" fontId="11" fillId="0" borderId="0" xfId="0">
      <alignment vertical="top"/>
    </xf>
    <xf numFmtId="13224" fontId="11" fillId="0" borderId="0" xfId="0">
      <alignment vertical="top"/>
    </xf>
    <xf numFmtId="0" fontId="12" fillId="0" borderId="0" xfId="0">
      <alignment vertical="top"/>
    </xf>
    <xf numFmtId="0" fontId="10" fillId="2" borderId="0" xfId="0">
      <alignment horizontal="center" vertical="top"/>
    </xf>
    <xf numFmtId="0" fontId="13" fillId="4" borderId="0" xfId="0">
      <alignment vertical="top"/>
    </xf>
    <xf numFmtId="13224" fontId="13" fillId="4" borderId="0" xfId="0">
      <alignment vertical="top"/>
    </xf>
    <xf numFmtId="13408" fontId="13" fillId="4" borderId="0" xfId="0">
      <alignment vertical="top"/>
    </xf>
    <xf numFmtId="0" fontId="13" fillId="0" borderId="0" xfId="0">
      <alignment vertical="top"/>
    </xf>
    <xf numFmtId="13224" fontId="13" fillId="0" borderId="0" xfId="0">
      <alignment vertical="top"/>
    </xf>
    <xf numFmtId="13408" fontId="13" fillId="0" borderId="0" xfId="0">
      <alignment vertical="top"/>
    </xf>
    <xf numFmtId="0" fontId="14" fillId="0" borderId="0" xfId="0">
      <alignment vertical="top"/>
    </xf>
  </cellXfs>
  <cellStyles count="1">
    <cellStyle name="Normal" xfId="0" builtinId="0"/>
  </cellStyles>
  <dxfs count="14">
    <dxf>
      <font>
        <color rgb="FFCC0000"/>
      </font>
    </dxf>
    <dxf>
      <font>
        <color rgb="FF006100"/>
      </font>
    </dxf>
    <dxf>
      <font>
        <color theme="1"/>
      </font>
      <border>
        <horizontal style="thin">
          <color theme="4" tint="0.8"/>
        </horizontal>
      </border>
    </dxf>
    <dxf>
      <border>
        <top style="thin">
          <color theme="4" tint="0.8"/>
        </top>
        <bottom style="thin">
          <color theme="4" tint="0.8"/>
        </bottom>
      </border>
    </dxf>
    <dxf>
      <border>
        <left style="thin">
          <color theme="4" tint="-0.25"/>
        </left>
        <right style="thin">
          <color theme="4" tint="-0.25"/>
        </right>
      </border>
    </dxf>
    <dxf>
      <border>
        <top style="thin">
          <color theme="4" tint="-0.25"/>
        </top>
        <bottom style="thin">
          <color theme="4" tint="-0.25"/>
        </bottom>
        <horizontal style="thin">
          <color theme="4" tint="-0.25"/>
        </horizontal>
      </border>
    </dxf>
    <dxf>
      <font>
        <color rgb="FFFFFFFF"/>
      </font>
      <fill>
        <patternFill patternType="solid">
          <fgColor theme="4" tint="-0.25"/>
          <bgColor theme="4" tint="-0.25"/>
        </patternFill>
      </fill>
      <border>
        <horizontal style="thin">
          <color theme="4" tint="-0.25"/>
        </horizontal>
      </border>
    </dxf>
    <dxf>
      <font>
        <b/>
        <sz val="11"/>
        <color rgb="FFFFFFFF"/>
        <name val="calibri"/>
      </font>
    </dxf>
    <dxf>
      <font>
        <b/>
        <sz val="11"/>
        <color rgb="FFFFFFFF"/>
        <name val="calibri"/>
      </font>
      <fill>
        <patternFill patternType="solid">
          <fgColor theme="4" tint="0.6"/>
          <bgColor theme="4" tint="0.6"/>
        </patternFill>
      </fill>
    </dxf>
    <dxf>
      <font>
        <b/>
        <sz val="11"/>
        <color theme="1"/>
        <name val="calibri"/>
      </font>
      <fill>
        <patternFill patternType="solid">
          <fgColor theme="0" tint="-0.15"/>
          <bgColor theme="0" tint="-0.15"/>
        </patternFill>
      </fill>
    </dxf>
    <dxf>
      <border>
        <bottom style="thin">
          <color theme="4" tint="0.8"/>
        </bottom>
      </border>
    </dxf>
    <dxf>
      <font>
        <color rgb="FFFFFFFF"/>
      </font>
      <fill>
        <patternFill patternType="solid">
          <fgColor theme="4" tint="0.6"/>
          <bgColor theme="4" tint="0.6"/>
        </patternFill>
      </fill>
      <border>
        <bottom style="thin">
          <color theme="4" tint="0.8"/>
        </bottom>
        <horizontal style="thin">
          <color theme="4" tint="0.6"/>
        </horizontal>
      </border>
    </dxf>
    <dxf>
      <fill>
        <patternFill patternType="solid">
          <fgColor theme="4" tint="0.8"/>
          <bgColor theme="4" tint="0.8"/>
        </patternFill>
      </fill>
      <border>
        <bottom style="thin">
          <color theme="4"/>
        </bottom>
      </border>
    </dxf>
    <dxf>
      <font>
        <b/>
        <sz val="11"/>
        <color theme="1"/>
        <name val="calibri"/>
      </font>
      <border>
        <top style="double">
          <color theme="4" tint="-0.25"/>
        </top>
      </border>
    </dxf>
  </dxfs>
  <tableStyles defaultPivotStyle="PivotStyleLight16" defaultTableStyle="TableStyleMedium2" count="1">
    <tableStyle name="CustomPivotTableStyle_ScenarioPivot" table="0" count="15">
      <tableStyleElement type="wholeTable" dxfId="2"/>
      <tableStyleElement type="pageFieldLabels" dxfId="3"/>
      <tableStyleElement type="pageFieldValues" dxfId="3"/>
      <tableStyleElement type="firstColumnStripe" dxfId="4" size="1"/>
      <tableStyleElement type="secondColumnStripe" size="1"/>
      <tableStyleElement type="firstRowStripe" dxfId="5" size="1"/>
      <tableStyleElement type="secondRowStripe" size="1"/>
      <tableStyleElement type="headerRow" dxfId="6"/>
      <tableStyleElement type="firstHeaderCell" dxfId="7"/>
      <tableStyleElement type="firstSubtotalRow" dxfId="8"/>
      <tableStyleElement type="secondSubtotalRow" dxfId="9"/>
      <tableStyleElement type="firstColumnSubheading" dxfId="10"/>
      <tableStyleElement type="firstRowSubheading" dxfId="11"/>
      <tableStyleElement type="secondRowSubheading" dxfId="12"/>
      <tableStyleElement type="totalRow" dxfId="13"/>
    </tableStyle>
  </table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Relationship Id="rId6" Type="http://schemas.openxmlformats.org/officeDocument/2006/relationships/theme" Target="theme/theme1.xml"/><Relationship Id="rId7" Type="http://schemas.openxmlformats.org/officeDocument/2006/relationships/pivotCacheDefinition" Target="pivotCache/pivotCacheDefinition1.xml"/><Relationship Id="rId8" Type="http://schemas.openxmlformats.org/officeDocument/2006/relationships/sharedStrings" Target="sharedStrings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3.xml.rels><?xml version="1.0" encoding="UTF-8" standalone="yes"?>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825" b="0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</a:defRPr>
            </a:pPr>
            <a:r>
              <a:rPr sz="825" b="0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</a:rPr>
              <a:t>Savings Growth Over Time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areaChart chartType="4">
        <c:ser seriesType="1">
          <c:idx val="0"/>
          <c:order val="0"/>
          <c:tx>
            <c:strRef>
              <c:f>Cumulative Contributions</c:f>
            </c:strRef>
          </c:tx>
          <c:spPr>
            <a:solidFill>
              <a:srgbClr val="4573c4"/>
            </a:solidFill>
            <a:ln w="9525">
              <a:solidFill>
                <a:srgbClr val="4573c4"/>
              </a:solidFill>
            </a:ln>
          </c:spPr>
          <c:cat>
            <c:numRef>
              <c:f>Charts!$A$2:$A$36</c:f>
              <c:numCache>
                <c:formatCode>#,##0</c:formatCode>
              </c:numCache>
            </c:numRef>
          </c:cat>
          <c:val>
            <c:numRef>
              <c:f>Charts!$B$2:$B$36</c:f>
              <c:numCache>
                <c:formatCode>_([$$-409]* #,##0.00_);_([$$-409]* (#,##0.00);_([$$-409]* "-"??_);_(@_)</c:formatCode>
              </c:numCache>
            </c:numRef>
          </c:val>
          <c:extLst/>
        </c:ser>
        <c:ser seriesType="1">
          <c:idx val="1"/>
          <c:order val="1"/>
          <c:tx>
            <c:strRef>
              <c:f>Investment Growth</c:f>
            </c:strRef>
          </c:tx>
          <c:spPr>
            <a:solidFill>
              <a:srgbClr val="ec7d30"/>
            </a:solidFill>
            <a:ln w="9525">
              <a:solidFill>
                <a:srgbClr val="ec7d30"/>
              </a:solidFill>
            </a:ln>
          </c:spPr>
          <c:cat>
            <c:numRef>
              <c:f>Charts!$A$2:$A$36</c:f>
              <c:numCache>
                <c:formatCode>#,##0</c:formatCode>
              </c:numCache>
            </c:numRef>
          </c:cat>
          <c:val>
            <c:numRef>
              <c:f>Charts!$C$2:$C$36</c:f>
              <c:numCache>
                <c:formatCode>_([$$-409]* #,##0.00_);_([$$-409]* (#,##0.00);_([$$-409]* "-"??_);_(@_)</c:formatCode>
              </c:numCache>
            </c:numRef>
          </c:val>
          <c:extLst/>
        </c:ser>
        <c:axId val="88466999"/>
        <c:axId val="99699633"/>
        <c:varyColors val="0"/>
        <c:grouping val="stacked"/>
      </c:areaChart>
      <c:catAx axisType="0">
        <c:axId val="88466999"/>
        <c:delete val="0"/>
        <c:majorTickMark val="none"/>
        <c:minorTickMark val="none"/>
        <c:tickLblPos val="nextTo"/>
        <c:title>
          <c:tx>
            <c:rich>
              <a:bodyPr/>
              <a:p>
                <a:pPr>
                  <a:defRPr sz="825" b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 Narrow"/>
                  </a:defRPr>
                </a:pPr>
                <a:r>
                  <a:rPr sz="825" b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 Narrow"/>
                  </a:rPr>
                  <a:t>Age</a:t>
                </a:r>
                <a:endParaRPr/>
              </a:p>
            </c:rich>
          </c:tx>
          <c:overlay val="0"/>
        </c:title>
        <c:axPos val="b"/>
        <c:scaling>
          <c:orientation val="minMax"/>
        </c:scaling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numFmt formatCode="#,##0"/>
        <c:txPr>
          <a:bodyPr/>
          <a:p>
            <a:pPr>
              <a:defRPr sz="825" b="0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</a:defRPr>
            </a:pPr>
            <a:r>
              <a:rPr sz="825" b="0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</a:rPr>
              <a:t/>
            </a:r>
            <a:endParaRPr/>
          </a:p>
        </c:txPr>
        <c:auto val="1"/>
        <c:lblOffset val="0"/>
        <c:tickMarkSkip val="1"/>
        <c:noMultiLvlLbl val="1"/>
        <c:crosses val="autoZero"/>
        <c:crossAx val="99699633"/>
      </c:catAx>
      <c:valAx axisType="3">
        <c:axId val="99699633"/>
        <c:delete val="0"/>
        <c:majorTickMark val="none"/>
        <c:minorTickMark val="none"/>
        <c:tickLblPos val="nextTo"/>
        <c:title>
          <c:tx>
            <c:rich>
              <a:bodyPr/>
              <a:p>
                <a:pPr>
                  <a:defRPr sz="825" b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 Narrow"/>
                  </a:defRPr>
                </a:pPr>
                <a:r>
                  <a:rPr sz="825" b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 Narrow"/>
                  </a:rPr>
                  <a:t>Balance ($)</a:t>
                </a:r>
                <a:endParaRPr/>
              </a:p>
            </c:rich>
          </c:tx>
          <c:overlay val="0"/>
        </c:title>
        <c:axPos val="l"/>
        <c:scaling>
          <c:orientation val="minMax"/>
        </c:scaling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numFmt formatCode="$#,##0" sourceLinked="0"/>
        <c:txPr>
          <a:bodyPr/>
          <a:p>
            <a:pPr>
              <a:defRPr sz="825" b="0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</a:defRPr>
            </a:pPr>
            <a:r>
              <a:rPr sz="825" b="0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</a:rPr>
              <a:t/>
            </a:r>
            <a:endParaRPr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crosses val="autoZero"/>
        <c:crossBetween val="between"/>
        <c:crossAx val="88466999"/>
      </c:val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/>
        <a:p>
          <a:pPr>
            <a:defRPr sz="825" b="0">
              <a:solidFill>
                <a:schemeClr val="tx1">
                  <a:lumMod val="65000"/>
                  <a:lumOff val="35000"/>
                </a:schemeClr>
              </a:solidFill>
              <a:latin typeface="Aptos Narrow"/>
            </a:defRPr>
          </a:pPr>
          <a:r>
            <a:rPr sz="825" b="0">
              <a:solidFill>
                <a:schemeClr val="tx1">
                  <a:lumMod val="65000"/>
                  <a:lumOff val="35000"/>
                </a:schemeClr>
              </a:solidFill>
              <a:latin typeface="Aptos Narrow"/>
            </a:rPr>
            <a:t/>
          </a:r>
          <a:endParaRPr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rgbClr val="fefffe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sz="825" b="0">
          <a:solidFill>
            <a:schemeClr val="tx1">
              <a:lumMod val="65000"/>
              <a:lumOff val="35000"/>
            </a:schemeClr>
          </a:solidFill>
          <a:latin typeface="Aptos Narrow"/>
        </a:defRPr>
      </a:pPr>
      <a:r>
        <a:rPr sz="825" b="0">
          <a:solidFill>
            <a:schemeClr val="tx1">
              <a:lumMod val="65000"/>
              <a:lumOff val="35000"/>
            </a:schemeClr>
          </a:solidFill>
          <a:latin typeface="Aptos Narrow"/>
        </a:rPr>
        <a:t/>
      </a:r>
      <a:endParaRPr/>
    </a:p>
  </c:txPr>
</c:chartSpace>
</file>

<file path=xl/charts/chart2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825" b="0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</a:defRPr>
            </a:pPr>
            <a:r>
              <a:rPr sz="825" b="0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</a:rPr>
              <a:t>Wealth Composition at Retirement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pieChart chartType="10">
        <c:ser seriesType="3">
          <c:idx val="0"/>
          <c:order val="0"/>
          <c:tx>
            <c:strRef>
              <c:f>Charts!$G$1</c:f>
            </c:strRef>
          </c:tx>
          <c:spPr>
            <a:ln w="19050">
              <a:solidFill>
                <a:srgbClr val="ffffff"/>
              </a:solidFill>
            </a:ln>
          </c:spPr>
          <c:cat>
            <c:strRef>
              <c:f>Charts!$F$2:$F$4</c:f>
            </c:strRef>
          </c:cat>
          <c:val>
            <c:numRef>
              <c:f>Charts!$G$2:$G$4</c:f>
              <c:numCache>
                <c:formatCode>_([$$-409]* #,##0.00_);_([$$-409]* (#,##0.00);_([$$-409]* "-"??_);_(@_)</c:formatCode>
              </c:numCache>
            </c:numRef>
          </c:val>
          <c:dLbls>
            <c:spPr>
              <a:noFill/>
              <a:ln>
                <a:noFill/>
              </a:ln>
            </c:spPr>
            <c:dLblPos val="bestFit"/>
            <c:showLeaderLines val="1"/>
            <c:showBubbleSize val="0"/>
            <c:showLegendKey val="0"/>
            <c:showPercent val="1"/>
            <c:showCatName val="1"/>
            <c:showSerName val="0"/>
            <c:showVal val="0"/>
            <c:separator>
</c:separator>
            <c:extLst>
              <c:ext xmlns:c15="http://schemas.microsoft.com/office/drawing/2012/chart" uri="{CE6537A1-D6FC-4f65-9D91-7224C49458BB}">
                <c15:showLeaderLines val="1"/>
              </c:ext>
            </c:extLst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</c:spPr>
            </c:leaderLines>
          </c:dLbls>
          <c:extLst/>
          <c:explosion val="0"/>
        </c:ser>
        <c:varyColors val="1"/>
        <c:firstSliceAng val="0"/>
      </c:pieChart>
      <c:spPr>
        <a:noFill/>
        <a:ln>
          <a:noFill/>
        </a:ln>
      </c:spPr>
    </c:plotArea>
    <c:legend>
      <c:legendPos val="b"/>
      <c:overlay val="0"/>
      <c:spPr>
        <a:noFill/>
      </c:spPr>
      <c:txPr>
        <a:bodyPr/>
        <a:p>
          <a:pPr>
            <a:defRPr sz="825" b="0">
              <a:solidFill>
                <a:schemeClr val="tx1">
                  <a:lumMod val="65000"/>
                  <a:lumOff val="35000"/>
                </a:schemeClr>
              </a:solidFill>
              <a:latin typeface="Aptos Narrow"/>
            </a:defRPr>
          </a:pPr>
          <a:r>
            <a:rPr sz="825" b="0">
              <a:solidFill>
                <a:schemeClr val="tx1">
                  <a:lumMod val="65000"/>
                  <a:lumOff val="35000"/>
                </a:schemeClr>
              </a:solidFill>
              <a:latin typeface="Aptos Narrow"/>
            </a:rPr>
            <a:t/>
          </a:r>
          <a:endParaRPr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rgbClr val="fefffe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sz="825" b="0">
          <a:solidFill>
            <a:schemeClr val="tx1">
              <a:lumMod val="65000"/>
              <a:lumOff val="35000"/>
            </a:schemeClr>
          </a:solidFill>
          <a:latin typeface="Aptos Narrow"/>
        </a:defRPr>
      </a:pPr>
      <a:r>
        <a:rPr sz="825" b="0">
          <a:solidFill>
            <a:schemeClr val="tx1">
              <a:lumMod val="65000"/>
              <a:lumOff val="35000"/>
            </a:schemeClr>
          </a:solidFill>
          <a:latin typeface="Aptos Narrow"/>
        </a:rPr>
        <a:t/>
      </a:r>
      <a:endParaRPr/>
    </a:p>
  </c:txPr>
</c:chartSpace>
</file>

<file path=xl/charts/chart3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825" b="0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</a:defRPr>
            </a:pPr>
            <a:r>
              <a:rPr sz="825" b="0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</a:rPr>
              <a:t>Annual Contributions vs Investment Returns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barChart chartType="6">
        <c:ser seriesType="0">
          <c:idx val="0"/>
          <c:order val="0"/>
          <c:tx>
            <c:strRef>
              <c:f>Annual Contribution</c:f>
            </c:strRef>
          </c:tx>
          <c:spPr>
            <a:solidFill>
              <a:srgbClr val="4573c4"/>
            </a:solidFill>
          </c:spPr>
          <c:cat>
            <c:numRef>
              <c:f>Charts!$I$2:$I$36</c:f>
              <c:numCache>
                <c:formatCode>#,##0</c:formatCode>
              </c:numCache>
            </c:numRef>
          </c:cat>
          <c:val>
            <c:numRef>
              <c:f>Charts!$J$2:$J$36</c:f>
              <c:numCache>
                <c:formatCode>_([$$-409]* #,##0.00_);_([$$-409]* (#,##0.00);_([$$-409]* "-"??_);_(@_)</c:formatCode>
              </c:numCache>
            </c:numRef>
          </c:val>
          <c:extLst/>
          <c:invertIfNegative val="0"/>
        </c:ser>
        <c:ser seriesType="0">
          <c:idx val="1"/>
          <c:order val="1"/>
          <c:tx>
            <c:strRef>
              <c:f>Annual Return</c:f>
            </c:strRef>
          </c:tx>
          <c:spPr>
            <a:solidFill>
              <a:srgbClr val="ec7d30"/>
            </a:solidFill>
          </c:spPr>
          <c:cat>
            <c:numRef>
              <c:f>Charts!$I$2:$I$36</c:f>
              <c:numCache>
                <c:formatCode>#,##0</c:formatCode>
              </c:numCache>
            </c:numRef>
          </c:cat>
          <c:val>
            <c:numRef>
              <c:f>Charts!$K$2:$K$36</c:f>
              <c:numCache>
                <c:formatCode>_([$$-409]* #,##0.00_);_([$$-409]* (#,##0.00);_([$$-409]* "-"??_);_(@_)</c:formatCode>
              </c:numCache>
            </c:numRef>
          </c:val>
          <c:extLst/>
          <c:invertIfNegative val="0"/>
        </c:ser>
        <c:axId val="12340732"/>
        <c:axId val="33193508"/>
        <c:barDir val="col"/>
        <c:grouping val="clustered"/>
        <c:gapWidth val="150"/>
        <c:varyColors val="0"/>
        <c:overlap val="-27"/>
      </c:barChart>
      <c:catAx axisType="0">
        <c:axId val="12340732"/>
        <c:delete val="0"/>
        <c:majorTickMark val="none"/>
        <c:minorTickMark val="none"/>
        <c:tickLblPos val="nextTo"/>
        <c:title>
          <c:tx>
            <c:rich>
              <a:bodyPr/>
              <a:p>
                <a:pPr>
                  <a:defRPr sz="825" b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 Narrow"/>
                  </a:defRPr>
                </a:pPr>
                <a:r>
                  <a:rPr sz="825" b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 Narrow"/>
                  </a:rPr>
                  <a:t>Age</a:t>
                </a:r>
                <a:endParaRPr/>
              </a:p>
            </c:rich>
          </c:tx>
          <c:overlay val="0"/>
        </c:title>
        <c:axPos val="b"/>
        <c:scaling>
          <c:orientation val="minMax"/>
        </c:scaling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numFmt formatCode="#,##0"/>
        <c:txPr>
          <a:bodyPr/>
          <a:p>
            <a:pPr>
              <a:defRPr sz="825" b="0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</a:defRPr>
            </a:pPr>
            <a:r>
              <a:rPr sz="825" b="0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</a:rPr>
              <a:t/>
            </a:r>
            <a:endParaRPr/>
          </a:p>
        </c:txPr>
        <c:auto val="1"/>
        <c:lblOffset val="0"/>
        <c:tickMarkSkip val="1"/>
        <c:noMultiLvlLbl val="1"/>
        <c:crosses val="autoZero"/>
        <c:crossAx val="33193508"/>
      </c:catAx>
      <c:valAx axisType="3">
        <c:axId val="33193508"/>
        <c:delete val="0"/>
        <c:majorTickMark val="none"/>
        <c:minorTickMark val="none"/>
        <c:tickLblPos val="nextTo"/>
        <c:title>
          <c:tx>
            <c:rich>
              <a:bodyPr/>
              <a:p>
                <a:pPr>
                  <a:defRPr sz="825" b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 Narrow"/>
                  </a:defRPr>
                </a:pPr>
                <a:r>
                  <a:rPr sz="825" b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 Narrow"/>
                  </a:rPr>
                  <a:t>Amount ($)</a:t>
                </a:r>
                <a:endParaRPr/>
              </a:p>
            </c:rich>
          </c:tx>
          <c:overlay val="0"/>
        </c:title>
        <c:axPos val="l"/>
        <c:scaling>
          <c:orientation val="minMax"/>
        </c:scaling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numFmt formatCode="$#,##0" sourceLinked="0"/>
        <c:txPr>
          <a:bodyPr/>
          <a:p>
            <a:pPr>
              <a:defRPr sz="825" b="0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</a:defRPr>
            </a:pPr>
            <a:r>
              <a:rPr sz="825" b="0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</a:rPr>
              <a:t/>
            </a:r>
            <a:endParaRPr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crosses val="autoZero"/>
        <c:crossBetween val="between"/>
        <c:crossAx val="12340732"/>
      </c:val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/>
        <a:p>
          <a:pPr>
            <a:defRPr sz="825" b="0">
              <a:solidFill>
                <a:schemeClr val="tx1">
                  <a:lumMod val="65000"/>
                  <a:lumOff val="35000"/>
                </a:schemeClr>
              </a:solidFill>
              <a:latin typeface="Aptos Narrow"/>
            </a:defRPr>
          </a:pPr>
          <a:r>
            <a:rPr sz="825" b="0">
              <a:solidFill>
                <a:schemeClr val="tx1">
                  <a:lumMod val="65000"/>
                  <a:lumOff val="35000"/>
                </a:schemeClr>
              </a:solidFill>
              <a:latin typeface="Aptos Narrow"/>
            </a:rPr>
            <a:t/>
          </a:r>
          <a:endParaRPr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rgbClr val="fefffe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sz="825" b="0">
          <a:solidFill>
            <a:schemeClr val="tx1">
              <a:lumMod val="65000"/>
              <a:lumOff val="35000"/>
            </a:schemeClr>
          </a:solidFill>
          <a:latin typeface="Aptos Narrow"/>
        </a:defRPr>
      </a:pPr>
      <a:r>
        <a:rPr sz="825" b="0">
          <a:solidFill>
            <a:schemeClr val="tx1">
              <a:lumMod val="65000"/>
              <a:lumOff val="35000"/>
            </a:schemeClr>
          </a:solidFill>
          <a:latin typeface="Aptos Narrow"/>
        </a:rPr>
        <a:t/>
      </a:r>
      <a:endParaRPr/>
    </a:p>
  </c:txPr>
</c:chartSpace>
</file>

<file path=xl/charts/colors1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colors2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colors3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35</xdr:row>
      <xdr:rowOff>0</xdr:rowOff>
    </xdr:from>
    <xdr:to>
      <xdr:col>18</xdr:col>
      <xdr:colOff>38100</xdr:colOff>
      <xdr:row>56</xdr:row>
      <xdr:rowOff>0</xdr:rowOff>
    </xdr:to>
    <xdr:graphicFrame>
      <xdr:nvGraphicFramePr>
        <xdr:cNvPr id="5" name="SavingsGrowth"/>
        <xdr:cNvGraphicFramePr>
          <a:graphicFrameLocks noChangeAspect="0"/>
        </xdr:cNvGraphicFramePr>
      </xdr:nvGraphicFramePr>
      <xdr:xfrm>
        <a:off x="190500" y="6667500"/>
        <a:ext cx="14678025" cy="4000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190500</xdr:colOff>
      <xdr:row>57</xdr:row>
      <xdr:rowOff>0</xdr:rowOff>
    </xdr:from>
    <xdr:to>
      <xdr:col>8</xdr:col>
      <xdr:colOff>228600</xdr:colOff>
      <xdr:row>77</xdr:row>
      <xdr:rowOff>0</xdr:rowOff>
    </xdr:to>
    <xdr:graphicFrame>
      <xdr:nvGraphicFramePr>
        <xdr:cNvPr id="6" name="WealthComposition"/>
        <xdr:cNvGraphicFramePr>
          <a:graphicFrameLocks noChangeAspect="0"/>
        </xdr:cNvGraphicFramePr>
      </xdr:nvGraphicFramePr>
      <xdr:xfrm>
        <a:off x="190500" y="10858500"/>
        <a:ext cx="7915275" cy="381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419100</xdr:colOff>
      <xdr:row>57</xdr:row>
      <xdr:rowOff>0</xdr:rowOff>
    </xdr:from>
    <xdr:to>
      <xdr:col>18</xdr:col>
      <xdr:colOff>38100</xdr:colOff>
      <xdr:row>77</xdr:row>
      <xdr:rowOff>0</xdr:rowOff>
    </xdr:to>
    <xdr:graphicFrame>
      <xdr:nvGraphicFramePr>
        <xdr:cNvPr id="7" name="ContribVsReturn"/>
        <xdr:cNvGraphicFramePr>
          <a:graphicFrameLocks noChangeAspect="0"/>
        </xdr:cNvGraphicFramePr>
      </xdr:nvGraphicFramePr>
      <xdr:xfrm>
        <a:off x="8296275" y="10858500"/>
        <a:ext cx="6572250" cy="381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mc="http://schemas.openxmlformats.org/markup-compatibility/2006" xmlns:r="http://schemas.openxmlformats.org/officeDocument/2006/relationships" xmlns:xr="http://schemas.microsoft.com/office/spreadsheetml/2014/revision" mc:Ignorable="xr" r:id="rId1" createdVersion="7" refreshedVersion="7">
  <cacheSource type="worksheet">
    <worksheetSource ref="B4:N28" sheet="Scenarios"/>
  </cacheSource>
  <cacheFields count="13">
    <cacheField name="Scenario">
      <sharedItems count="24">
        <s v="Conservative Early Start"/>
        <s v="Conservative Moderate Save"/>
        <s v="Conservative Max Save"/>
        <s v="Conservative Aggressive Save"/>
        <s v="Conservative Late Starter"/>
        <s v="Conservative Catch-Up"/>
        <s v="Conservative Steady"/>
        <s v="Conservative High Save"/>
        <s v="Moderate Early Start"/>
        <s v="Moderate Standard"/>
        <s v="Moderate High Save"/>
        <s v="Moderate Late 20s"/>
        <s v="Moderate Mid Start"/>
        <s v="Moderate Mid Catch-Up"/>
        <s v="Moderate Mid Steady"/>
        <s v="Moderate Mid Max"/>
        <s v="Aggressive Early Start"/>
        <s v="Aggressive Standard"/>
        <s v="Aggressive High Save"/>
        <s v="Aggressive Bold"/>
        <s v="Aggressive Mid Start"/>
        <s v="Aggressive Mid Catch-Up"/>
        <s v="Aggressive Mid Steady"/>
        <s v="Aggressive Mid Max"/>
      </sharedItems>
    </cacheField>
    <cacheField name="Risk Profile">
      <sharedItems count="3">
        <s v="Conservative"/>
        <s v="Moderate"/>
        <s v="Aggressive"/>
      </sharedItems>
    </cacheField>
    <cacheField name="Age Group">
      <sharedItems count="2">
        <s v="Young (25-35)"/>
        <s v="Mid-Career (36-45)"/>
      </sharedItems>
    </cacheField>
    <cacheField name="Starting Age">
      <sharedItems count="8" containsString="0" containsNumber="1" containsInteger="1" minValue="25" maxValue="45" containsSemiMixedTypes="0">
        <n v="25"/>
        <n v="28"/>
        <n v="30"/>
        <n v="32"/>
        <n v="38"/>
        <n v="40"/>
        <n v="42"/>
        <n v="45"/>
      </sharedItems>
    </cacheField>
    <cacheField name="Retirement Age">
      <sharedItems count="2" containsString="0" containsNumber="1" containsInteger="1" minValue="65" maxValue="67" containsSemiMixedTypes="0">
        <n v="65"/>
        <n v="67"/>
      </sharedItems>
    </cacheField>
    <cacheField name="Initial Savings">
      <sharedItems count="15" containsString="0" containsNumber="1" containsInteger="1" minValue="20000" maxValue="300000" containsSemiMixedTypes="0">
        <n v="20000"/>
        <n v="30000"/>
        <n v="50000"/>
        <n v="40000"/>
        <n v="80000"/>
        <n v="120000"/>
        <n v="150000"/>
        <n v="200000"/>
        <n v="35000"/>
        <n v="45000"/>
        <n v="100000"/>
        <n v="180000"/>
        <n v="250000"/>
        <n v="60000"/>
        <n v="300000"/>
      </sharedItems>
    </cacheField>
    <cacheField name="Annual Contribution">
      <sharedItems count="10" containsString="0" containsNumber="1" containsInteger="1" minValue="8000" maxValue="30000" containsSemiMixedTypes="0">
        <n v="8000"/>
        <n v="10000"/>
        <n v="15000"/>
        <n v="12000"/>
        <n v="18000"/>
        <n v="20000"/>
        <n v="14000"/>
        <n v="25000"/>
        <n v="22000"/>
        <n v="30000"/>
      </sharedItems>
    </cacheField>
    <cacheField name="Return Rate">
      <sharedItems count="6" containsString="0" containsNumber="1" minValue="0.04" maxValue="0.1" containsSemiMixedTypes="0">
        <n v="0.04"/>
        <n v="0.045"/>
        <n v="0.07"/>
        <n v="0.065"/>
        <n v="0.1"/>
        <n v="0.095"/>
      </sharedItems>
    </cacheField>
    <cacheField name="Inflation Rate">
      <sharedItems count="3" containsString="0" containsNumber="1" minValue="0.02" maxValue="0.03" containsSemiMixedTypes="0">
        <n v="0.02"/>
        <n v="0.025"/>
        <n v="0.03"/>
      </sharedItems>
    </cacheField>
    <cacheField name="Years to Retire">
      <sharedItems count="6" containsString="0" containsNumber="1" containsInteger="1" minValue="22" maxValue="40" containsSemiMixedTypes="0">
        <n v="40"/>
        <n v="37"/>
        <n v="35"/>
        <n v="27"/>
        <n v="23"/>
        <n v="22"/>
      </sharedItems>
    </cacheField>
    <cacheField name="Savings at Retirement">
      <sharedItems count="24" containsString="0" containsNumber="1" minValue="526319.417362879" maxValue="2967977.14750452" containsSemiMixedTypes="0">
        <n v="601079.18493456"/>
        <n v="565867.852646184"/>
        <n v="879339.367032711"/>
        <n v="538944.398373476"/>
        <n v="526319.417362879"/>
        <n v="855686.312775897"/>
        <n v="560604.196114516"/>
        <n v="861690.586381064"/>
        <n v="983951.714090313"/>
        <n v="1218876.81700996"/>
        <n v="1397918.841658"/>
        <n v="1148740.5229674"/>
        <n v="997184.50361414"/>
        <n v="1503424.08306425"/>
        <n v="983063.295918324"/>
        <n v="1556157.8780239"/>
        <n v="2124667.22815328"/>
        <n v="2040009.45933273"/>
        <n v="2728368.29810695"/>
        <n v="2396656.26837779"/>
        <n v="1824481.79025976"/>
        <n v="2602976.66218917"/>
        <n v="1975807.13809529"/>
        <n v="2967977.14750452"/>
      </sharedItems>
    </cacheField>
    <cacheField name="Required Nest Egg">
      <sharedItems count="16" containsString="0" containsNumber="1" minValue="658403.85439677" maxValue="1326158.27970078" containsSemiMixedTypes="0">
        <n v="1176818.24432898"/>
        <n v="1248673.11494712"/>
        <n v="1178143.42742005"/>
        <n v="1231451.40477365"/>
        <n v="1103397.57413767"/>
        <n v="1326158.27970078"/>
        <n v="899830.177106306"/>
        <n v="947065.719129749"/>
        <n v="901782.628139494"/>
        <n v="857939.864146589"/>
        <n v="999922.234740536"/>
        <n v="679688.470682319"/>
        <n v="712247.362544658"/>
        <n v="710102.144163953"/>
        <n v="688269.684870427"/>
        <n v="658403.85439677"/>
      </sharedItems>
    </cacheField>
    <cacheField name="Surplus / (Shortfall)">
      <sharedItems count="24" containsString="0" containsNumber="1" minValue="-765554.083586264" maxValue="2309573.29310775" containsSemiMixedTypes="0">
        <n v="-575739.05939442"/>
        <n v="-682805.262300936"/>
        <n v="-298804.060387339"/>
        <n v="-692507.006400174"/>
        <n v="-722353.697584241"/>
        <n v="-247711.261361773"/>
        <n v="-765554.083586264"/>
        <n v="-241706.987756606"/>
        <n v="84121.536984007"/>
        <n v="319046.639903654"/>
        <n v="450853.122528251"/>
        <n v="246957.894827906"/>
        <n v="50118.784484391"/>
        <n v="645484.218917661"/>
        <n v="-16858.9388222119"/>
        <n v="698218.013877311"/>
        <n v="1444978.75747096"/>
        <n v="1327762.09678807"/>
        <n v="2018266.153943"/>
        <n v="1708386.58350736"/>
        <n v="1114379.64609581"/>
        <n v="1914706.97731874"/>
        <n v="1265704.99393134"/>
        <n v="2309573.29310775"/>
      </sharedItems>
    </cacheField>
  </cacheFields>
  <extLst>
    <ext xmlns:x14="http://schemas.microsoft.com/office/spreadsheetml/2009/9/main" uri="{725AE2AE-9491-48be-B2B4-4EB974FC3084}">
      <x14:pivotCacheDefinition pivotCacheId="100000000"/>
    </ext>
  </extLst>
</pivotCacheDefinition>
</file>

<file path=xl/pivotCache/pivotCacheRecords1.xml><?xml version="1.0" encoding="utf-8"?>
<pivotCacheRecords xmlns="http://schemas.openxmlformats.org/spreadsheetml/2006/main" xmlns:mc="http://schemas.openxmlformats.org/markup-compatibility/2006" xmlns:r="http://schemas.openxmlformats.org/officeDocument/2006/relationships" xmlns:xr="http://schemas.microsoft.com/office/spreadsheetml/2014/revision" mc:Ignorable="xr" count="24">
  <r>
    <x v="0"/>
    <x v="0"/>
    <x v="0"/>
    <x v="0"/>
    <x v="0"/>
    <x v="0"/>
    <x v="0"/>
    <x v="0"/>
    <x v="0"/>
    <x v="0"/>
    <x v="0"/>
    <x v="0"/>
    <x v="0"/>
  </r>
  <r>
    <x v="1"/>
    <x v="0"/>
    <x v="0"/>
    <x v="1"/>
    <x v="0"/>
    <x v="1"/>
    <x v="1"/>
    <x v="0"/>
    <x v="1"/>
    <x v="1"/>
    <x v="1"/>
    <x v="1"/>
    <x v="1"/>
  </r>
  <r>
    <x v="2"/>
    <x v="0"/>
    <x v="0"/>
    <x v="2"/>
    <x v="0"/>
    <x v="2"/>
    <x v="2"/>
    <x v="1"/>
    <x v="1"/>
    <x v="2"/>
    <x v="2"/>
    <x v="2"/>
    <x v="2"/>
  </r>
  <r>
    <x v="3"/>
    <x v="0"/>
    <x v="0"/>
    <x v="3"/>
    <x v="1"/>
    <x v="3"/>
    <x v="3"/>
    <x v="0"/>
    <x v="2"/>
    <x v="2"/>
    <x v="3"/>
    <x v="3"/>
    <x v="3"/>
  </r>
  <r>
    <x v="4"/>
    <x v="0"/>
    <x v="1"/>
    <x v="4"/>
    <x v="0"/>
    <x v="4"/>
    <x v="3"/>
    <x v="0"/>
    <x v="1"/>
    <x v="3"/>
    <x v="4"/>
    <x v="1"/>
    <x v="4"/>
  </r>
  <r>
    <x v="5"/>
    <x v="0"/>
    <x v="1"/>
    <x v="5"/>
    <x v="1"/>
    <x v="5"/>
    <x v="4"/>
    <x v="1"/>
    <x v="1"/>
    <x v="3"/>
    <x v="5"/>
    <x v="4"/>
    <x v="5"/>
  </r>
  <r>
    <x v="6"/>
    <x v="0"/>
    <x v="1"/>
    <x v="6"/>
    <x v="0"/>
    <x v="6"/>
    <x v="2"/>
    <x v="0"/>
    <x v="2"/>
    <x v="4"/>
    <x v="6"/>
    <x v="5"/>
    <x v="6"/>
  </r>
  <r>
    <x v="7"/>
    <x v="0"/>
    <x v="1"/>
    <x v="7"/>
    <x v="1"/>
    <x v="7"/>
    <x v="5"/>
    <x v="1"/>
    <x v="1"/>
    <x v="5"/>
    <x v="7"/>
    <x v="4"/>
    <x v="7"/>
  </r>
  <r>
    <x v="8"/>
    <x v="1"/>
    <x v="0"/>
    <x v="0"/>
    <x v="0"/>
    <x v="0"/>
    <x v="0"/>
    <x v="2"/>
    <x v="1"/>
    <x v="0"/>
    <x v="8"/>
    <x v="6"/>
    <x v="8"/>
  </r>
  <r>
    <x v="9"/>
    <x v="1"/>
    <x v="0"/>
    <x v="2"/>
    <x v="0"/>
    <x v="2"/>
    <x v="3"/>
    <x v="2"/>
    <x v="1"/>
    <x v="2"/>
    <x v="9"/>
    <x v="6"/>
    <x v="9"/>
  </r>
  <r>
    <x v="10"/>
    <x v="1"/>
    <x v="0"/>
    <x v="1"/>
    <x v="0"/>
    <x v="8"/>
    <x v="2"/>
    <x v="3"/>
    <x v="1"/>
    <x v="1"/>
    <x v="10"/>
    <x v="7"/>
    <x v="10"/>
  </r>
  <r>
    <x v="11"/>
    <x v="1"/>
    <x v="0"/>
    <x v="3"/>
    <x v="1"/>
    <x v="9"/>
    <x v="6"/>
    <x v="2"/>
    <x v="2"/>
    <x v="2"/>
    <x v="11"/>
    <x v="8"/>
    <x v="11"/>
  </r>
  <r>
    <x v="12"/>
    <x v="1"/>
    <x v="1"/>
    <x v="4"/>
    <x v="0"/>
    <x v="10"/>
    <x v="2"/>
    <x v="3"/>
    <x v="1"/>
    <x v="3"/>
    <x v="12"/>
    <x v="7"/>
    <x v="12"/>
  </r>
  <r>
    <x v="13"/>
    <x v="1"/>
    <x v="1"/>
    <x v="5"/>
    <x v="1"/>
    <x v="6"/>
    <x v="5"/>
    <x v="2"/>
    <x v="1"/>
    <x v="3"/>
    <x v="13"/>
    <x v="9"/>
    <x v="13"/>
  </r>
  <r>
    <x v="14"/>
    <x v="1"/>
    <x v="1"/>
    <x v="6"/>
    <x v="0"/>
    <x v="11"/>
    <x v="4"/>
    <x v="3"/>
    <x v="2"/>
    <x v="4"/>
    <x v="14"/>
    <x v="10"/>
    <x v="14"/>
  </r>
  <r>
    <x v="15"/>
    <x v="1"/>
    <x v="1"/>
    <x v="7"/>
    <x v="1"/>
    <x v="12"/>
    <x v="7"/>
    <x v="2"/>
    <x v="1"/>
    <x v="5"/>
    <x v="15"/>
    <x v="9"/>
    <x v="15"/>
  </r>
  <r>
    <x v="16"/>
    <x v="2"/>
    <x v="0"/>
    <x v="0"/>
    <x v="0"/>
    <x v="0"/>
    <x v="0"/>
    <x v="4"/>
    <x v="1"/>
    <x v="0"/>
    <x v="16"/>
    <x v="11"/>
    <x v="16"/>
  </r>
  <r>
    <x v="17"/>
    <x v="2"/>
    <x v="0"/>
    <x v="2"/>
    <x v="0"/>
    <x v="2"/>
    <x v="3"/>
    <x v="4"/>
    <x v="2"/>
    <x v="2"/>
    <x v="17"/>
    <x v="12"/>
    <x v="17"/>
  </r>
  <r>
    <x v="18"/>
    <x v="2"/>
    <x v="0"/>
    <x v="1"/>
    <x v="0"/>
    <x v="1"/>
    <x v="2"/>
    <x v="5"/>
    <x v="1"/>
    <x v="1"/>
    <x v="18"/>
    <x v="13"/>
    <x v="18"/>
  </r>
  <r>
    <x v="19"/>
    <x v="2"/>
    <x v="0"/>
    <x v="3"/>
    <x v="1"/>
    <x v="13"/>
    <x v="6"/>
    <x v="4"/>
    <x v="2"/>
    <x v="2"/>
    <x v="19"/>
    <x v="14"/>
    <x v="19"/>
  </r>
  <r>
    <x v="20"/>
    <x v="2"/>
    <x v="1"/>
    <x v="4"/>
    <x v="0"/>
    <x v="5"/>
    <x v="2"/>
    <x v="5"/>
    <x v="1"/>
    <x v="3"/>
    <x v="20"/>
    <x v="13"/>
    <x v="20"/>
  </r>
  <r>
    <x v="21"/>
    <x v="2"/>
    <x v="1"/>
    <x v="5"/>
    <x v="1"/>
    <x v="11"/>
    <x v="8"/>
    <x v="4"/>
    <x v="2"/>
    <x v="3"/>
    <x v="21"/>
    <x v="14"/>
    <x v="21"/>
  </r>
  <r>
    <x v="22"/>
    <x v="2"/>
    <x v="1"/>
    <x v="6"/>
    <x v="0"/>
    <x v="7"/>
    <x v="5"/>
    <x v="5"/>
    <x v="1"/>
    <x v="4"/>
    <x v="22"/>
    <x v="13"/>
    <x v="22"/>
  </r>
  <r>
    <x v="23"/>
    <x v="2"/>
    <x v="1"/>
    <x v="7"/>
    <x v="1"/>
    <x v="14"/>
    <x v="9"/>
    <x v="4"/>
    <x v="1"/>
    <x v="5"/>
    <x v="23"/>
    <x v="15"/>
    <x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compact="0" compactData="0" outline="0" outlineData="0" name="ScenarioPivot" multipleFieldFilters="0" indent="0" dataCaption="Values" createdVersion="7" updatedVersion="7" cacheId="1">
  <location ref="B2:I12" firstDataRow="1" firstDataCol="2" firstHeaderRow="0" colPageCount="1"/>
  <pivotFields count="13">
    <pivotField compact="0" outline="0" axis="axisValues" showAll="0" dataField="1"/>
    <pivotField compact="0" outline="0" axis="axisRow" subtotalTop="0" showAll="0" sortType="descending">
      <items count="4">
        <item x="2"/>
        <item x="0"/>
        <item x="1"/>
        <item t="default"/>
      </items>
      <autoSortScope>
        <pivotArea>
          <references count="1">
            <reference field="4294967294" count="1">
              <x v="2"/>
            </reference>
          </references>
        </pivotArea>
      </autoSortScope>
    </pivotField>
    <pivotField compact="0" outline="0" axis="axisRow" subtotalTop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axis="axisValues" showAll="0" dataField="1"/>
    <pivotField compact="0" outline="0" axis="axisValues" showAll="0" dataField="1"/>
    <pivotField compact="0" outline="0" axis="axisValues" showAll="0" dataField="1"/>
  </pivotFields>
  <rowFields count="2">
    <field x="1"/>
    <field x="2"/>
  </rowFields>
  <rowItems count="10">
    <i>
      <x/>
      <x/>
    </i>
    <i r="1">
      <x v="1"/>
    </i>
    <i t="default">
      <x/>
    </i>
    <i>
      <x v="2"/>
      <x/>
    </i>
    <i r="1">
      <x v="1"/>
    </i>
    <i t="default">
      <x v="2"/>
    </i>
    <i>
      <x v="1"/>
      <x/>
    </i>
    <i r="1">
      <x v="1"/>
    </i>
    <i t="default">
      <x v="1"/>
    </i>
    <i t="grand">
      <x/>
    </i>
  </rowItems>
  <colFields count="1">
    <field x="-2"/>
  </colFields>
  <colItems count="6">
    <i>
      <x/>
    </i>
    <i>
      <x v="1"/>
    </i>
    <i>
      <x v="2"/>
    </i>
    <i>
      <x v="3"/>
    </i>
    <i>
      <x v="4"/>
    </i>
    <i>
      <x v="5"/>
    </i>
  </colItems>
  <dataFields count="6">
    <dataField name="Avg Savings at Retirement" subtotal="average" fld="10"/>
    <dataField name="Avg Required Nest Egg" subtotal="average" fld="11"/>
    <dataField name="Avg Surplus / (Shortfall)" subtotal="average" fld="12"/>
    <dataField name="Max Surplus" subtotal="max" fld="12"/>
    <dataField name="Min Surplus" subtotal="min" fld="12"/>
    <dataField name="# Scenarios" subtotal="count" fld="0"/>
  </dataFields>
  <pivotTableStyleInfo name="CustomPivotTableStyle_ScenarioPivot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5D94326-80B8-CC98-002C-C814664F3317}" mc:Ignorable="x14ac xr xr2 xr3">
  <dimension ref="A1:CV10000"/>
  <sheetViews>
    <sheetView showGridLines="0" topLeftCell="B13" zoomScale="90" workbookViewId="0">
      <selection activeCell="B41" sqref="B41:K52"/>
    </sheetView>
  </sheetViews>
  <sheetFormatPr defaultRowHeight="15.997499999999997" defaultColWidth="9.00390625" customHeight="1"/>
  <cols>
    <col min="1" max="1" width="1.25390625" customWidth="1"/>
    <col min="2" max="2" width="31.25390625" customWidth="1"/>
    <col min="3" max="3" width="18.75390625" customWidth="1"/>
    <col min="4" max="10" width="15.00390625" customWidth="1"/>
    <col min="11" max="11" width="17.50390625" customWidth="1"/>
  </cols>
  <sheetData>
    <row r="1" ht="16.5" customHeight="1"/>
    <row r="2" ht="21" customHeight="1">
      <c r="B2" s="1" t="s">
        <v>0</v>
      </c>
    </row>
    <row r="3" ht="16.5" customHeight="1"/>
    <row r="4" ht="16.5" customHeight="1">
      <c r="B4" s="2" t="s">
        <v>1</v>
      </c>
      <c r="C4" s="3"/>
      <c r="E4" s="2" t="s">
        <v>2</v>
      </c>
      <c r="F4" s="2"/>
      <c r="G4" s="2"/>
      <c r="H4" s="2"/>
      <c r="I4" s="2"/>
      <c r="J4" s="2"/>
      <c r="K4" s="2"/>
    </row>
    <row r="5" ht="15.997499999999997" customHeight="1">
      <c r="E5" s="4" t="s">
        <v>3</v>
      </c>
      <c r="F5" s="4" t="s">
        <v>4</v>
      </c>
      <c r="G5" s="4" t="s">
        <v>5</v>
      </c>
      <c r="H5" s="4" t="s">
        <v>6</v>
      </c>
      <c r="I5" s="4" t="s">
        <v>7</v>
      </c>
      <c r="J5" s="4" t="s">
        <v>8</v>
      </c>
      <c r="K5" s="4" t="s">
        <v>9</v>
      </c>
    </row>
    <row r="6" ht="16.5" customHeight="1">
      <c r="B6" s="5" t="s">
        <v>10</v>
      </c>
      <c r="C6" s="6">
        <v>30</v>
      </c>
      <c r="E6" s="7">
        <v>1</v>
      </c>
      <c r="F6" s="7" cm="1">
        <f t="array" ref="F6">C6</f>
        <v>30</v>
      </c>
      <c r="G6" s="8" cm="1">
        <f t="array" ref="G6">C8</f>
        <v>50000</v>
      </c>
      <c r="H6" s="8" cm="1">
        <f t="array" ref="H6">C9</f>
        <v>12000</v>
      </c>
      <c r="I6" s="8">
        <f t="shared" si="0" ref="I6:I40">(G6+H6)*C$11</f>
        <v>4340</v>
      </c>
      <c r="J6" s="8">
        <f t="shared" si="1" ref="J6:J40">(G6+H6+I6)*C$12</f>
        <v>1658.5</v>
      </c>
      <c r="K6" s="8">
        <f t="shared" si="2" ref="K6:K40">G6+H6+I6</f>
        <v>66340</v>
      </c>
    </row>
    <row r="7" ht="16.5" customHeight="1">
      <c r="B7" s="5" t="s">
        <v>11</v>
      </c>
      <c r="C7" s="6">
        <v>65</v>
      </c>
      <c r="E7" s="9">
        <v>2</v>
      </c>
      <c r="F7" s="9">
        <f t="shared" si="3" ref="F7:F40">F6+1</f>
        <v>31</v>
      </c>
      <c r="G7" s="10" cm="1">
        <f t="array" ref="G7">K6</f>
        <v>66340</v>
      </c>
      <c r="H7" s="10">
        <f t="shared" si="4" ref="H7:H40">H6*(1+C$10)</f>
        <v>12360</v>
      </c>
      <c r="I7" s="10">
        <f t="shared" si="0"/>
        <v>5509</v>
      </c>
      <c r="J7" s="10">
        <f t="shared" si="1"/>
        <v>2105.225</v>
      </c>
      <c r="K7" s="10">
        <f t="shared" si="2"/>
        <v>84209</v>
      </c>
    </row>
    <row r="8" ht="16.5" customHeight="1">
      <c r="B8" s="5" t="s">
        <v>12</v>
      </c>
      <c r="C8" s="11">
        <v>50000</v>
      </c>
      <c r="E8" s="12">
        <v>3</v>
      </c>
      <c r="F8" s="12">
        <f t="shared" si="3"/>
        <v>32</v>
      </c>
      <c r="G8" s="10" cm="1">
        <f t="array" ref="G8">K7</f>
        <v>84209</v>
      </c>
      <c r="H8" s="10">
        <f t="shared" si="4"/>
        <v>12730.8</v>
      </c>
      <c r="I8" s="10">
        <f t="shared" si="0"/>
        <v>6785.786</v>
      </c>
      <c r="J8" s="10">
        <f t="shared" si="1"/>
        <v>2593.13965</v>
      </c>
      <c r="K8" s="10">
        <f t="shared" si="2"/>
        <v>103725.586</v>
      </c>
    </row>
    <row r="9" ht="16.5" customHeight="1">
      <c r="B9" s="5" t="s">
        <v>13</v>
      </c>
      <c r="C9" s="11">
        <v>12000</v>
      </c>
      <c r="E9" s="13">
        <v>4</v>
      </c>
      <c r="F9" s="13">
        <f t="shared" si="3"/>
        <v>33</v>
      </c>
      <c r="G9" s="10" cm="1">
        <f t="array" ref="G9">K8</f>
        <v>103725.586</v>
      </c>
      <c r="H9" s="10">
        <f t="shared" si="4"/>
        <v>13112.724</v>
      </c>
      <c r="I9" s="10">
        <f t="shared" si="0"/>
        <v>8178.6817</v>
      </c>
      <c r="J9" s="10">
        <f t="shared" si="1"/>
        <v>3125.4247925</v>
      </c>
      <c r="K9" s="10">
        <f t="shared" si="2"/>
        <v>125016.9917</v>
      </c>
    </row>
    <row r="10" ht="16.5" customHeight="1">
      <c r="B10" s="5" t="s">
        <v>14</v>
      </c>
      <c r="C10" s="14">
        <v>0.03</v>
      </c>
      <c r="E10" s="12">
        <v>5</v>
      </c>
      <c r="F10" s="12">
        <f t="shared" si="3"/>
        <v>34</v>
      </c>
      <c r="G10" s="10" cm="1">
        <f t="array" ref="G10">K9</f>
        <v>125016.9917</v>
      </c>
      <c r="H10" s="10">
        <f t="shared" si="4"/>
        <v>13506.10572</v>
      </c>
      <c r="I10" s="10">
        <f t="shared" si="0"/>
        <v>9696.6168194</v>
      </c>
      <c r="J10" s="10">
        <f t="shared" si="1"/>
        <v>3705.492855985</v>
      </c>
      <c r="K10" s="10">
        <f t="shared" si="2"/>
        <v>148219.7142394</v>
      </c>
    </row>
    <row r="11" ht="16.5" customHeight="1">
      <c r="B11" s="5" t="s">
        <v>15</v>
      </c>
      <c r="C11" s="14">
        <v>0.07</v>
      </c>
      <c r="E11" s="13">
        <v>6</v>
      </c>
      <c r="F11" s="13">
        <f t="shared" si="3"/>
        <v>35</v>
      </c>
      <c r="G11" s="10" cm="1">
        <f t="array" ref="G11">K10</f>
        <v>148219.7142394</v>
      </c>
      <c r="H11" s="10">
        <f t="shared" si="4"/>
        <v>13911.2888916</v>
      </c>
      <c r="I11" s="10">
        <f t="shared" si="0"/>
        <v>11349.17021917</v>
      </c>
      <c r="J11" s="10">
        <f t="shared" si="1"/>
        <v>4337.00433375425</v>
      </c>
      <c r="K11" s="10">
        <f t="shared" si="2"/>
        <v>173480.17335017</v>
      </c>
    </row>
    <row r="12" ht="16.5" customHeight="1">
      <c r="B12" s="5" t="s">
        <v>16</v>
      </c>
      <c r="C12" s="14">
        <v>0.025</v>
      </c>
      <c r="E12" s="12">
        <v>7</v>
      </c>
      <c r="F12" s="12">
        <f t="shared" si="3"/>
        <v>36</v>
      </c>
      <c r="G12" s="10" cm="1">
        <f t="array" ref="G12">K11</f>
        <v>173480.17335017</v>
      </c>
      <c r="H12" s="10">
        <f t="shared" si="4"/>
        <v>14328.627558348</v>
      </c>
      <c r="I12" s="10">
        <f t="shared" si="0"/>
        <v>13146.6160635963</v>
      </c>
      <c r="J12" s="10">
        <f t="shared" si="1"/>
        <v>5023.88542430286</v>
      </c>
      <c r="K12" s="10">
        <f t="shared" si="2"/>
        <v>200955.416972114</v>
      </c>
    </row>
    <row r="13" ht="16.5" customHeight="1">
      <c r="B13" s="5" t="s">
        <v>17</v>
      </c>
      <c r="C13" s="11">
        <v>60000</v>
      </c>
      <c r="E13" s="13">
        <v>8</v>
      </c>
      <c r="F13" s="13">
        <f t="shared" si="3"/>
        <v>37</v>
      </c>
      <c r="G13" s="10" cm="1">
        <f t="array" ref="G13">K12</f>
        <v>200955.416972114</v>
      </c>
      <c r="H13" s="10">
        <f t="shared" si="4"/>
        <v>14758.4863850984</v>
      </c>
      <c r="I13" s="10">
        <f t="shared" si="0"/>
        <v>15099.9732350049</v>
      </c>
      <c r="J13" s="10">
        <f t="shared" si="1"/>
        <v>5770.34691480543</v>
      </c>
      <c r="K13" s="10">
        <f t="shared" si="2"/>
        <v>230813.876592217</v>
      </c>
    </row>
    <row r="14" ht="16.5" customHeight="1">
      <c r="B14" s="5" t="s">
        <v>18</v>
      </c>
      <c r="C14" s="6">
        <v>90</v>
      </c>
      <c r="E14" s="12">
        <v>9</v>
      </c>
      <c r="F14" s="12">
        <f t="shared" si="3"/>
        <v>38</v>
      </c>
      <c r="G14" s="10" cm="1">
        <f t="array" ref="G14">K13</f>
        <v>230813.876592217</v>
      </c>
      <c r="H14" s="10">
        <f t="shared" si="4"/>
        <v>15201.2409766514</v>
      </c>
      <c r="I14" s="10">
        <f t="shared" si="0"/>
        <v>17221.0582298208</v>
      </c>
      <c r="J14" s="10">
        <f t="shared" si="1"/>
        <v>6580.90439496723</v>
      </c>
      <c r="K14" s="10">
        <f t="shared" si="2"/>
        <v>263236.175798689</v>
      </c>
    </row>
    <row r="15" ht="15.997499999999997" customHeight="1">
      <c r="E15" s="13">
        <v>10</v>
      </c>
      <c r="F15" s="13">
        <f t="shared" si="3"/>
        <v>39</v>
      </c>
      <c r="G15" s="10" cm="1">
        <f t="array" ref="G15">K14</f>
        <v>263236.175798689</v>
      </c>
      <c r="H15" s="10">
        <f t="shared" si="4"/>
        <v>15657.2782059509</v>
      </c>
      <c r="I15" s="10">
        <f t="shared" si="0"/>
        <v>19522.5417803248</v>
      </c>
      <c r="J15" s="10">
        <f t="shared" si="1"/>
        <v>7460.39989462412</v>
      </c>
      <c r="K15" s="10">
        <f t="shared" si="2"/>
        <v>298415.995784965</v>
      </c>
    </row>
    <row r="16" ht="16.5" customHeight="1">
      <c r="B16" s="2" t="s">
        <v>19</v>
      </c>
      <c r="C16" s="3"/>
      <c r="E16" s="12">
        <v>11</v>
      </c>
      <c r="F16" s="12">
        <f t="shared" si="3"/>
        <v>40</v>
      </c>
      <c r="G16" s="10" cm="1">
        <f t="array" ref="G16">K15</f>
        <v>298415.995784965</v>
      </c>
      <c r="H16" s="10">
        <f t="shared" si="4"/>
        <v>16126.9965521294</v>
      </c>
      <c r="I16" s="10">
        <f t="shared" si="0"/>
        <v>22018.0094635966</v>
      </c>
      <c r="J16" s="10">
        <f t="shared" si="1"/>
        <v>8414.02504501728</v>
      </c>
      <c r="K16" s="10">
        <f t="shared" si="2"/>
        <v>336561.001800691</v>
      </c>
    </row>
    <row r="17" ht="15.997499999999997" customHeight="1">
      <c r="E17" s="13">
        <v>12</v>
      </c>
      <c r="F17" s="13">
        <f t="shared" si="3"/>
        <v>41</v>
      </c>
      <c r="G17" s="10" cm="1">
        <f t="array" ref="G17">K16</f>
        <v>336561.001800691</v>
      </c>
      <c r="H17" s="10">
        <f t="shared" si="4"/>
        <v>16610.8064486933</v>
      </c>
      <c r="I17" s="10">
        <f t="shared" si="0"/>
        <v>24722.0265774569</v>
      </c>
      <c r="J17" s="10">
        <f t="shared" si="1"/>
        <v>9447.34587067103</v>
      </c>
      <c r="K17" s="10">
        <f t="shared" si="2"/>
        <v>377893.834826841</v>
      </c>
    </row>
    <row r="18" ht="16.5" customHeight="1">
      <c r="B18" s="5" t="s">
        <v>20</v>
      </c>
      <c r="C18" s="15">
        <f>C7-C6</f>
        <v>35</v>
      </c>
      <c r="E18" s="12">
        <v>13</v>
      </c>
      <c r="F18" s="12">
        <f t="shared" si="3"/>
        <v>42</v>
      </c>
      <c r="G18" s="10" cm="1">
        <f t="array" ref="G18">K17</f>
        <v>377893.834826841</v>
      </c>
      <c r="H18" s="10">
        <f t="shared" si="4"/>
        <v>17109.1306421541</v>
      </c>
      <c r="I18" s="10">
        <f t="shared" si="0"/>
        <v>27650.2075828297</v>
      </c>
      <c r="J18" s="10">
        <f t="shared" si="1"/>
        <v>10566.3293262956</v>
      </c>
      <c r="K18" s="10">
        <f t="shared" si="2"/>
        <v>422653.173051825</v>
      </c>
    </row>
    <row r="19" ht="16.5" customHeight="1">
      <c r="B19" s="5" t="s">
        <v>21</v>
      </c>
      <c r="C19" s="15">
        <f>C14-C7</f>
        <v>25</v>
      </c>
      <c r="E19" s="13">
        <v>14</v>
      </c>
      <c r="F19" s="13">
        <f t="shared" si="3"/>
        <v>43</v>
      </c>
      <c r="G19" s="10" cm="1">
        <f t="array" ref="G19">K18</f>
        <v>422653.173051825</v>
      </c>
      <c r="H19" s="10">
        <f t="shared" si="4"/>
        <v>17622.4045614187</v>
      </c>
      <c r="I19" s="10">
        <f t="shared" si="0"/>
        <v>30819.2904329271</v>
      </c>
      <c r="J19" s="10">
        <f t="shared" si="1"/>
        <v>11777.3717011543</v>
      </c>
      <c r="K19" s="10">
        <f t="shared" si="2"/>
        <v>471094.868046171</v>
      </c>
    </row>
    <row r="20" ht="16.5" customHeight="1">
      <c r="B20" s="5" t="s">
        <v>22</v>
      </c>
      <c r="C20" s="16">
        <f>(1+C11)/(1+C12)-1</f>
        <v>0.0439024390243905</v>
      </c>
      <c r="E20" s="12">
        <v>15</v>
      </c>
      <c r="F20" s="12">
        <f t="shared" si="3"/>
        <v>44</v>
      </c>
      <c r="G20" s="10" cm="1">
        <f t="array" ref="G20">K19</f>
        <v>471094.868046171</v>
      </c>
      <c r="H20" s="10">
        <f t="shared" si="4"/>
        <v>18151.0766982613</v>
      </c>
      <c r="I20" s="10">
        <f t="shared" si="0"/>
        <v>34247.2161321103</v>
      </c>
      <c r="J20" s="10">
        <f t="shared" si="1"/>
        <v>13087.3290219136</v>
      </c>
      <c r="K20" s="10">
        <f t="shared" si="2"/>
        <v>523493.160876543</v>
      </c>
    </row>
    <row r="21" ht="16.5" customHeight="1">
      <c r="B21" s="5" t="s">
        <v>23</v>
      </c>
      <c r="C21" s="17" cm="1">
        <f t="array" ref="C21">OFFSET(K5,C18,0)</f>
        <v>3057761.88293907</v>
      </c>
      <c r="E21" s="13">
        <v>16</v>
      </c>
      <c r="F21" s="13">
        <f t="shared" si="3"/>
        <v>45</v>
      </c>
      <c r="G21" s="10" cm="1">
        <f t="array" ref="G21">K20</f>
        <v>523493.160876543</v>
      </c>
      <c r="H21" s="10">
        <f t="shared" si="4"/>
        <v>18695.6089992091</v>
      </c>
      <c r="I21" s="10">
        <f t="shared" si="0"/>
        <v>37953.2138913027</v>
      </c>
      <c r="J21" s="10">
        <f t="shared" si="1"/>
        <v>14503.5495941764</v>
      </c>
      <c r="K21" s="10">
        <f t="shared" si="2"/>
        <v>580141.983767055</v>
      </c>
    </row>
    <row r="22" ht="16.5" customHeight="1">
      <c r="B22" s="5" t="s">
        <v>24</v>
      </c>
      <c r="C22" s="17">
        <f>C21/(1+C12)^C18</f>
        <v>1288452.38536139</v>
      </c>
      <c r="E22" s="12">
        <v>17</v>
      </c>
      <c r="F22" s="12">
        <f t="shared" si="3"/>
        <v>46</v>
      </c>
      <c r="G22" s="10" cm="1">
        <f t="array" ref="G22">K21</f>
        <v>580141.983767055</v>
      </c>
      <c r="H22" s="10">
        <f t="shared" si="4"/>
        <v>19256.4772691854</v>
      </c>
      <c r="I22" s="10">
        <f t="shared" si="0"/>
        <v>41957.8922725368</v>
      </c>
      <c r="J22" s="10">
        <f t="shared" si="1"/>
        <v>16033.9088327194</v>
      </c>
      <c r="K22" s="10">
        <f t="shared" si="2"/>
        <v>641356.353308777</v>
      </c>
    </row>
    <row r="23" ht="16.5" customHeight="1">
      <c r="B23" s="5" t="s">
        <v>25</v>
      </c>
      <c r="C23" s="17" cm="1">
        <f t="array" ref="C23">SUMPRODUCT((E6:E40&lt;=C18)*H6:H40)</f>
        <v>725544.98174861</v>
      </c>
      <c r="E23" s="13">
        <v>18</v>
      </c>
      <c r="F23" s="13">
        <f t="shared" si="3"/>
        <v>47</v>
      </c>
      <c r="G23" s="10" cm="1">
        <f t="array" ref="G23">K22</f>
        <v>641356.353308777</v>
      </c>
      <c r="H23" s="10">
        <f t="shared" si="4"/>
        <v>19834.171587261</v>
      </c>
      <c r="I23" s="10">
        <f t="shared" si="0"/>
        <v>46283.3367427227</v>
      </c>
      <c r="J23" s="10">
        <f t="shared" si="1"/>
        <v>17686.846540969</v>
      </c>
      <c r="K23" s="10">
        <f t="shared" si="2"/>
        <v>707473.861638761</v>
      </c>
    </row>
    <row r="24" ht="16.5" customHeight="1">
      <c r="B24" s="5" t="s">
        <v>26</v>
      </c>
      <c r="C24" s="17">
        <f>C21-C8-C23</f>
        <v>2282216.90119046</v>
      </c>
      <c r="E24" s="12">
        <v>19</v>
      </c>
      <c r="F24" s="12">
        <f t="shared" si="3"/>
        <v>48</v>
      </c>
      <c r="G24" s="10" cm="1">
        <f t="array" ref="G24">K23</f>
        <v>707473.861638761</v>
      </c>
      <c r="H24" s="10">
        <f t="shared" si="4"/>
        <v>20429.1967348788</v>
      </c>
      <c r="I24" s="10">
        <f t="shared" si="0"/>
        <v>50953.2140861548</v>
      </c>
      <c r="J24" s="10">
        <f t="shared" si="1"/>
        <v>19471.4068114949</v>
      </c>
      <c r="K24" s="10">
        <f t="shared" si="2"/>
        <v>778856.272459795</v>
      </c>
    </row>
    <row r="25" ht="16.5" customHeight="1">
      <c r="B25" s="5" t="s">
        <v>27</v>
      </c>
      <c r="C25" s="17">
        <f>C13*((1-(1/(1+C20))^C19)/C20)</f>
        <v>899830.177106306</v>
      </c>
      <c r="E25" s="13">
        <v>20</v>
      </c>
      <c r="F25" s="13">
        <f t="shared" si="3"/>
        <v>49</v>
      </c>
      <c r="G25" s="10" cm="1">
        <f t="array" ref="G25">K24</f>
        <v>778856.272459795</v>
      </c>
      <c r="H25" s="10">
        <f t="shared" si="4"/>
        <v>21042.0726369252</v>
      </c>
      <c r="I25" s="10">
        <f t="shared" si="0"/>
        <v>55992.8841567704</v>
      </c>
      <c r="J25" s="10">
        <f t="shared" si="1"/>
        <v>21397.2807313373</v>
      </c>
      <c r="K25" s="10">
        <f t="shared" si="2"/>
        <v>855891.229253491</v>
      </c>
    </row>
    <row r="26" ht="16.5" customHeight="1">
      <c r="B26" s="18" t="s">
        <v>28</v>
      </c>
      <c r="C26" s="19">
        <f>C22-C25</f>
        <v>388622.208255084</v>
      </c>
      <c r="E26" s="12">
        <v>21</v>
      </c>
      <c r="F26" s="12">
        <f t="shared" si="3"/>
        <v>50</v>
      </c>
      <c r="G26" s="10" cm="1">
        <f t="array" ref="G26">K25</f>
        <v>855891.229253491</v>
      </c>
      <c r="H26" s="10">
        <f t="shared" si="4"/>
        <v>21673.334816033</v>
      </c>
      <c r="I26" s="10">
        <f t="shared" si="0"/>
        <v>61429.5194848667</v>
      </c>
      <c r="J26" s="10">
        <f t="shared" si="1"/>
        <v>23474.8520888598</v>
      </c>
      <c r="K26" s="10">
        <f t="shared" si="2"/>
        <v>938994.083554391</v>
      </c>
    </row>
    <row r="27" ht="15.997499999999997" customHeight="1">
      <c r="E27" s="13">
        <v>22</v>
      </c>
      <c r="F27" s="13">
        <f t="shared" si="3"/>
        <v>51</v>
      </c>
      <c r="G27" s="10" cm="1">
        <f t="array" ref="G27">K26</f>
        <v>938994.083554391</v>
      </c>
      <c r="H27" s="10">
        <f t="shared" si="4"/>
        <v>22323.534860514</v>
      </c>
      <c r="I27" s="10">
        <f t="shared" si="0"/>
        <v>67292.2332890434</v>
      </c>
      <c r="J27" s="10">
        <f t="shared" si="1"/>
        <v>25715.2462925987</v>
      </c>
      <c r="K27" s="10">
        <f t="shared" si="2"/>
        <v>1028609.85170395</v>
      </c>
    </row>
    <row r="28" ht="16.5" customHeight="1">
      <c r="E28" s="20">
        <v>23</v>
      </c>
      <c r="F28" s="12">
        <f t="shared" si="3"/>
        <v>52</v>
      </c>
      <c r="G28" s="21" cm="1">
        <f t="array" ref="G28">K27</f>
        <v>1028609.85170395</v>
      </c>
      <c r="H28" s="21">
        <f t="shared" si="4"/>
        <v>22993.2409063294</v>
      </c>
      <c r="I28" s="21">
        <f t="shared" si="0"/>
        <v>73612.2164827196</v>
      </c>
      <c r="J28" s="21">
        <f t="shared" si="1"/>
        <v>28130.382727325</v>
      </c>
      <c r="K28" s="8">
        <f t="shared" si="2"/>
        <v>1125215.309093</v>
      </c>
    </row>
    <row r="29" ht="16.5" customHeight="1">
      <c r="E29" s="22">
        <v>24</v>
      </c>
      <c r="F29" s="13">
        <f t="shared" si="3"/>
        <v>53</v>
      </c>
      <c r="G29" s="23" cm="1">
        <f t="array" ref="G29">K28</f>
        <v>1125215.309093</v>
      </c>
      <c r="H29" s="23">
        <f t="shared" si="4"/>
        <v>23683.0381335193</v>
      </c>
      <c r="I29" s="23">
        <f t="shared" si="0"/>
        <v>80422.8843058564</v>
      </c>
      <c r="J29" s="23">
        <f t="shared" si="1"/>
        <v>30733.0307883094</v>
      </c>
      <c r="K29" s="10">
        <f t="shared" si="2"/>
        <v>1229321.23153238</v>
      </c>
    </row>
    <row r="30" ht="16.5" customHeight="1">
      <c r="E30" s="20">
        <v>25</v>
      </c>
      <c r="F30" s="12">
        <f t="shared" si="3"/>
        <v>54</v>
      </c>
      <c r="G30" s="21" cm="1">
        <f t="array" ref="G30">K29</f>
        <v>1229321.23153238</v>
      </c>
      <c r="H30" s="21">
        <f t="shared" si="4"/>
        <v>24393.5292775249</v>
      </c>
      <c r="I30" s="21">
        <f t="shared" si="0"/>
        <v>87760.0332566934</v>
      </c>
      <c r="J30" s="21">
        <f t="shared" si="1"/>
        <v>33536.869851665</v>
      </c>
      <c r="K30" s="8">
        <f t="shared" si="2"/>
        <v>1341474.7940666</v>
      </c>
    </row>
    <row r="31" ht="16.5" customHeight="1">
      <c r="E31" s="22">
        <v>26</v>
      </c>
      <c r="F31" s="13">
        <f t="shared" si="3"/>
        <v>55</v>
      </c>
      <c r="G31" s="23" cm="1">
        <f t="array" ref="G31">K30</f>
        <v>1341474.7940666</v>
      </c>
      <c r="H31" s="23">
        <f t="shared" si="4"/>
        <v>25125.3351558506</v>
      </c>
      <c r="I31" s="23">
        <f t="shared" si="0"/>
        <v>95662.0090455716</v>
      </c>
      <c r="J31" s="23">
        <f t="shared" si="1"/>
        <v>36556.5534567006</v>
      </c>
      <c r="K31" s="10">
        <f t="shared" si="2"/>
        <v>1462262.13826802</v>
      </c>
    </row>
    <row r="32" ht="16.5" customHeight="1">
      <c r="E32" s="20">
        <v>27</v>
      </c>
      <c r="F32" s="12">
        <f t="shared" si="3"/>
        <v>56</v>
      </c>
      <c r="G32" s="21" cm="1">
        <f t="array" ref="G32">K31</f>
        <v>1462262.13826802</v>
      </c>
      <c r="H32" s="21">
        <f t="shared" si="4"/>
        <v>25879.0952105261</v>
      </c>
      <c r="I32" s="21">
        <f t="shared" si="0"/>
        <v>104169.886343498</v>
      </c>
      <c r="J32" s="21">
        <f t="shared" si="1"/>
        <v>39807.7779955511</v>
      </c>
      <c r="K32" s="8">
        <f t="shared" si="2"/>
        <v>1592311.11982204</v>
      </c>
    </row>
    <row r="33" ht="16.5" customHeight="1">
      <c r="E33" s="22">
        <v>28</v>
      </c>
      <c r="F33" s="13">
        <f t="shared" si="3"/>
        <v>57</v>
      </c>
      <c r="G33" s="23" cm="1">
        <f t="array" ref="G33">K32</f>
        <v>1592311.11982204</v>
      </c>
      <c r="H33" s="23">
        <f t="shared" si="4"/>
        <v>26655.4680668419</v>
      </c>
      <c r="I33" s="23">
        <f t="shared" si="0"/>
        <v>113327.661152222</v>
      </c>
      <c r="J33" s="23">
        <f t="shared" si="1"/>
        <v>43307.3562260276</v>
      </c>
      <c r="K33" s="10">
        <f t="shared" si="2"/>
        <v>1732294.2490411</v>
      </c>
    </row>
    <row r="34" ht="16.5" customHeight="1">
      <c r="E34" s="20">
        <v>29</v>
      </c>
      <c r="F34" s="12">
        <f t="shared" si="3"/>
        <v>58</v>
      </c>
      <c r="G34" s="21" cm="1">
        <f t="array" ref="G34">K33</f>
        <v>1732294.2490411</v>
      </c>
      <c r="H34" s="21">
        <f t="shared" si="4"/>
        <v>27455.1321088472</v>
      </c>
      <c r="I34" s="21">
        <f t="shared" si="0"/>
        <v>123182.456680496</v>
      </c>
      <c r="J34" s="21">
        <f t="shared" si="1"/>
        <v>47073.2959457611</v>
      </c>
      <c r="K34" s="8">
        <f t="shared" si="2"/>
        <v>1882931.83783044</v>
      </c>
    </row>
    <row r="35" ht="16.5" customHeight="1">
      <c r="E35" s="22">
        <v>30</v>
      </c>
      <c r="F35" s="13">
        <f t="shared" si="3"/>
        <v>59</v>
      </c>
      <c r="G35" s="23" cm="1">
        <f t="array" ref="G35">K34</f>
        <v>1882931.83783044</v>
      </c>
      <c r="H35" s="23">
        <f t="shared" si="4"/>
        <v>28278.7860721126</v>
      </c>
      <c r="I35" s="23">
        <f t="shared" si="0"/>
        <v>133784.743673179</v>
      </c>
      <c r="J35" s="23">
        <f t="shared" si="1"/>
        <v>51124.8841893933</v>
      </c>
      <c r="K35" s="10">
        <f t="shared" si="2"/>
        <v>2044995.36757573</v>
      </c>
    </row>
    <row r="36" ht="16.5" customHeight="1">
      <c r="E36" s="20">
        <v>31</v>
      </c>
      <c r="F36" s="12">
        <f t="shared" si="3"/>
        <v>60</v>
      </c>
      <c r="G36" s="21" cm="1">
        <f t="array" ref="G36">K35</f>
        <v>2044995.36757573</v>
      </c>
      <c r="H36" s="21">
        <f t="shared" si="4"/>
        <v>29127.149654276</v>
      </c>
      <c r="I36" s="21">
        <f t="shared" si="0"/>
        <v>145188.5762061</v>
      </c>
      <c r="J36" s="21">
        <f t="shared" si="1"/>
        <v>55482.7773359027</v>
      </c>
      <c r="K36" s="8">
        <f t="shared" si="2"/>
        <v>2219311.09343611</v>
      </c>
    </row>
    <row r="37" ht="16.5" customHeight="1">
      <c r="E37" s="22">
        <v>32</v>
      </c>
      <c r="F37" s="13">
        <f t="shared" si="3"/>
        <v>61</v>
      </c>
      <c r="G37" s="23" cm="1">
        <f t="array" ref="G37">K36</f>
        <v>2219311.09343611</v>
      </c>
      <c r="H37" s="23">
        <f t="shared" si="4"/>
        <v>30000.9641439043</v>
      </c>
      <c r="I37" s="23">
        <f t="shared" si="0"/>
        <v>157451.844030601</v>
      </c>
      <c r="J37" s="23">
        <f t="shared" si="1"/>
        <v>60169.0975402654</v>
      </c>
      <c r="K37" s="10">
        <f t="shared" si="2"/>
        <v>2406763.90161062</v>
      </c>
    </row>
    <row r="38" ht="16.5" customHeight="1">
      <c r="E38" s="20">
        <v>33</v>
      </c>
      <c r="F38" s="12">
        <f t="shared" si="3"/>
        <v>62</v>
      </c>
      <c r="G38" s="21" cm="1">
        <f t="array" ref="G38">K37</f>
        <v>2406763.90161062</v>
      </c>
      <c r="H38" s="21">
        <f t="shared" si="4"/>
        <v>30900.9930682214</v>
      </c>
      <c r="I38" s="21">
        <f t="shared" si="0"/>
        <v>170636.542627519</v>
      </c>
      <c r="J38" s="21">
        <f t="shared" si="1"/>
        <v>65207.535932659</v>
      </c>
      <c r="K38" s="8">
        <f t="shared" si="2"/>
        <v>2608301.43730636</v>
      </c>
    </row>
    <row r="39" ht="16.5" customHeight="1">
      <c r="E39" s="13">
        <v>34</v>
      </c>
      <c r="F39" s="13">
        <f t="shared" si="3"/>
        <v>63</v>
      </c>
      <c r="G39" s="23" cm="1">
        <f t="array" ref="G39">K38</f>
        <v>2608301.43730636</v>
      </c>
      <c r="H39" s="23">
        <f t="shared" si="4"/>
        <v>31828.022860268</v>
      </c>
      <c r="I39" s="23">
        <f t="shared" si="0"/>
        <v>184809.062211664</v>
      </c>
      <c r="J39" s="23">
        <f t="shared" si="1"/>
        <v>70623.4630594573</v>
      </c>
      <c r="K39" s="10">
        <f t="shared" si="2"/>
        <v>2824938.52237829</v>
      </c>
    </row>
    <row r="40" ht="16.5" customHeight="1">
      <c r="E40" s="12">
        <v>35</v>
      </c>
      <c r="F40" s="12">
        <f t="shared" si="3"/>
        <v>64</v>
      </c>
      <c r="G40" s="21" cm="1">
        <f t="array" ref="G40">K39</f>
        <v>2824938.52237829</v>
      </c>
      <c r="H40" s="21">
        <f t="shared" si="4"/>
        <v>32782.863546076</v>
      </c>
      <c r="I40" s="21">
        <f t="shared" si="0"/>
        <v>200040.497014706</v>
      </c>
      <c r="J40" s="21">
        <f t="shared" si="1"/>
        <v>76444.0470734768</v>
      </c>
      <c r="K40" s="8">
        <f t="shared" si="2"/>
        <v>3057761.88293907</v>
      </c>
    </row>
    <row r="41" ht="16.5" customHeight="1"/>
    <row r="42" ht="16.5" customHeight="1">
      <c r="B42" s="2" t="s">
        <v>29</v>
      </c>
      <c r="C42" s="3"/>
      <c r="D42" s="3"/>
      <c r="E42" s="3"/>
      <c r="F42" s="3"/>
      <c r="G42" s="3"/>
      <c r="H42" s="3"/>
      <c r="I42" s="3"/>
      <c r="J42" s="3"/>
    </row>
    <row r="43" ht="16.5" customHeight="1"/>
    <row r="44" ht="15.75" customHeight="1">
      <c r="B44" s="24" t="s">
        <v>30</v>
      </c>
      <c r="D44" s="25">
        <v>0.01</v>
      </c>
      <c r="E44" s="25">
        <v>0.015</v>
      </c>
      <c r="F44" s="25">
        <v>0.02</v>
      </c>
      <c r="G44" s="25">
        <v>0.025</v>
      </c>
      <c r="H44" s="25">
        <v>0.03</v>
      </c>
      <c r="I44" s="25">
        <v>0.035</v>
      </c>
      <c r="J44" s="25">
        <v>0.04</v>
      </c>
    </row>
    <row r="45" ht="15.75" customHeight="1">
      <c r="C45" s="26" t="s">
        <v>31</v>
      </c>
    </row>
    <row r="46" ht="15.75" customHeight="1">
      <c r="C46" s="25">
        <v>0.04</v>
      </c>
      <c r="D46" s="8">
        <f>((C8*(1+C46)^C18+C9*(((1+C46)^C18-(1+C10)^C18)/(C46-C10)))/(1+D44)^C18)-(C13*((1-(1/((1+C46)/(1+D44)))^C19)/(((1+C46)/(1+D44)-1))))</f>
        <v>50130.5758580441</v>
      </c>
      <c r="E46" s="8">
        <f>((C8*(1+C46)^C18+C9*(((1+C46)^C18-(1+C10)^C18)/(C46-C10)))/(1+E44)^C18)-(C13*((1-(1/((1+C46)/(1+E44)))^C19)/(((1+C46)/(1+E44)-1))))</f>
        <v>-186107.034610976</v>
      </c>
      <c r="F46" s="8">
        <f>((C8*(1+C46)^C18+C9*(((1+C46)^C18-(1+C10)^C18)/(C46-C10)))/(1+F44)^C18)-(C13*((1-(1/((1+C46)/(1+F44)))^C19)/(((1+C46)/(1+F44)-1))))</f>
        <v>-398787.129836872</v>
      </c>
      <c r="G46" s="8">
        <f>((C8*(1+C46)^C18+C9*(((1+C46)^C18-(1+C10)^C18)/(C46-C10)))/(1+G44)^C18)-(C13*((1-(1/((1+C46)/(1+G44)))^C19)/(((1+C46)/(1+G44)-1))))</f>
        <v>-593029.723193772</v>
      </c>
      <c r="H46" s="8">
        <f>((C8*(1+C46)^C18+C9*(((1+C46)^C18-(1+C10)^C18)/(C46-C10)))/(1+H44)^C18)-(C13*((1-(1/((1+C46)/(1+H44)))^C19)/(((1+C46)/(1+H44)-1))))</f>
        <v>-773190.136179132</v>
      </c>
      <c r="I46" s="8">
        <f>((C8*(1+C46)^C18+C9*(((1+C46)^C18-(1+C10)^C18)/(C46-C10)))/(1+I44)^C18)-(C13*((1-(1/((1+C46)/(1+I44)))^C19)/(((1+C46)/(1+I44)-1))))</f>
        <v>-943001.277558859</v>
      </c>
      <c r="J46" s="8" t="str">
        <f>_xlfn.IFERROR(((C8*(1+C46)^C18+C9*(((1+C46)^C18-(1+C10)^C18)/(C46-C10)))/(1+J44)^C18)-(C13*((1-(1/((1+C46)/(1+J44)))^C19)/(((1+C46)/(1+J44)-1)))),"N/A")</f>
        <v>N/A</v>
      </c>
    </row>
    <row r="47" ht="15.75" customHeight="1">
      <c r="C47" s="25">
        <v>0.05</v>
      </c>
      <c r="D47" s="10">
        <f>((C8*(1+C47)^C18+C9*(((1+C47)^C18-(1+C10)^C18)/(C47-C10)))/(1+D44)^C18)-(C13*((1-(1/((1+C47)/(1+D44)))^C19)/(((1+C47)/(1+D44)-1))))</f>
        <v>397923.714119023</v>
      </c>
      <c r="E47" s="10">
        <f>((C8*(1+C47)^C18+C9*(((1+C47)^C18-(1+C10)^C18)/(C47-C10)))/(1+E44)^C18)-(C13*((1-(1/((1+C47)/(1+E44)))^C19)/(((1+C47)/(1+E44)-1))))</f>
        <v>132153.539944596</v>
      </c>
      <c r="F47" s="10">
        <f>((C8*(1+C47)^C18+C9*(((1+C47)^C18-(1+C10)^C18)/(C47-C10)))/(1+F44)^C18)-(C13*((1-(1/((1+C47)/(1+F44)))^C19)/(((1+C47)/(1+F44)-1))))</f>
        <v>-103071.341990729</v>
      </c>
      <c r="G47" s="10">
        <f>((C8*(1+C47)^C18+C9*(((1+C47)^C18-(1+C10)^C18)/(C47-C10)))/(1+G44)^C18)-(C13*((1-(1/((1+C47)/(1+G44)))^C19)/(((1+C47)/(1+G44)-1))))</f>
        <v>-313832.019587287</v>
      </c>
      <c r="H47" s="10">
        <f>((C8*(1+C47)^C18+C9*(((1+C47)^C18-(1+C10)^C18)/(C47-C10)))/(1+H44)^C18)-(C13*((1-(1/((1+C47)/(1+H44)))^C19)/(((1+C47)/(1+H44)-1))))</f>
        <v>-505262.679421504</v>
      </c>
      <c r="I47" s="10">
        <f>((C8*(1+C47)^C18+C9*(((1+C47)^C18-(1+C10)^C18)/(C47-C10)))/(1+I44)^C18)-(C13*((1-(1/((1+C47)/(1+I44)))^C19)/(((1+C47)/(1+I44)-1))))</f>
        <v>-681722.773294306</v>
      </c>
      <c r="J47" s="10">
        <f>((C8*(1+C47)^C18+C9*(((1+C47)^C18-(1+C10)^C18)/(C47-C10)))/(1+J44)^C18)-(C13*((1-(1/((1+C47)/(1+J44)))^C19)/(((1+C47)/(1+J44)-1))))</f>
        <v>-846939.335661186</v>
      </c>
    </row>
    <row r="48" ht="15.75" customHeight="1">
      <c r="C48" s="25">
        <v>0.06</v>
      </c>
      <c r="D48" s="8">
        <f>((C8*(1+C48)^C18+C9*(((1+C48)^C18-(1+C10)^C18)/(C48-C10)))/(1+D44)^C18)-(C13*((1-(1/((1+C48)/(1+D44)))^C19)/(((1+C48)/(1+D44)-1))))</f>
        <v>797186.363753241</v>
      </c>
      <c r="E48" s="8">
        <f>((C8*(1+C48)^C18+C9*(((1+C48)^C18-(1+C10)^C18)/(C48-C10)))/(1+E44)^C18)-(C13*((1-(1/((1+C48)/(1+E44)))^C19)/(((1+C48)/(1+E44)-1))))</f>
        <v>489790.561799157</v>
      </c>
      <c r="F48" s="8">
        <f>((C8*(1+C48)^C18+C9*(((1+C48)^C18-(1+C10)^C18)/(C48-C10)))/(1+F44)^C18)-(C13*((1-(1/((1+C48)/(1+F44)))^C19)/(((1+C48)/(1+F44)-1))))</f>
        <v>221517.658079619</v>
      </c>
      <c r="G48" s="8">
        <f>((C8*(1+C48)^C18+C9*(((1+C48)^C18-(1+C10)^C18)/(C48-C10)))/(1+G44)^C18)-(C13*((1-(1/((1+C48)/(1+G44)))^C19)/(((1+C48)/(1+G44)-1))))</f>
        <v>-14975.6443305481</v>
      </c>
      <c r="H48" s="8">
        <f>((C8*(1+C48)^C18+C9*(((1+C48)^C18-(1+C10)^C18)/(C48-C10)))/(1+H44)^C18)-(C13*((1-(1/((1+C48)/(1+H44)))^C19)/(((1+C48)/(1+H44)-1))))</f>
        <v>-225855.938165292</v>
      </c>
      <c r="I48" s="8">
        <f>((C8*(1+C48)^C18+C9*(((1+C48)^C18-(1+C10)^C18)/(C48-C10)))/(1+I44)^C18)-(C13*((1-(1/((1+C48)/(1+I44)))^C19)/(((1+C48)/(1+I44)-1))))</f>
        <v>-416323.777124053</v>
      </c>
      <c r="J48" s="8">
        <f>((C8*(1+C48)^C18+C9*(((1+C48)^C18-(1+C10)^C18)/(C48-C10)))/(1+J44)^C18)-(C13*((1-(1/((1+C48)/(1+J44)))^C19)/(((1+C48)/(1+J44)-1))))</f>
        <v>-590787.536360087</v>
      </c>
    </row>
    <row r="49" ht="15.75" customHeight="1">
      <c r="C49" s="25">
        <v>0.07</v>
      </c>
      <c r="D49" s="10">
        <f>((C8*(1+C49)^C18+C9*(((1+C49)^C18-(1+C10)^C18)/(C49-C10)))/(1+D44)^C18)-(C13*((1-(1/((1+C49)/(1+D44)))^C19)/(((1+C49)/(1+D44)-1))))</f>
        <v>1270608.9362681</v>
      </c>
      <c r="E49" s="10">
        <f>((C8*(1+C49)^C18+C9*(((1+C49)^C18-(1+C10)^C18)/(C49-C10)))/(1+E44)^C18)-(C13*((1-(1/((1+C49)/(1+E44)))^C19)/(((1+C49)/(1+E44)-1))))</f>
        <v>906584.190007524</v>
      </c>
      <c r="F49" s="10">
        <f>((C8*(1+C49)^C18+C9*(((1+C49)^C18-(1+C10)^C18)/(C49-C10)))/(1+F44)^C18)-(C13*((1-(1/((1+C49)/(1+F44)))^C19)/(((1+C49)/(1+F44)-1))))</f>
        <v>592393.360756351</v>
      </c>
      <c r="G49" s="27">
        <f>((C8*(1+C49)^C18+C9*(((1+C49)^C18-(1+C10)^C18)/(C49-C10)))/(1+G44)^C18)-(C13*((1-(1/((1+C49)/(1+G44)))^C19)/(((1+C49)/(1+G44)-1))))</f>
        <v>319046.639903656</v>
      </c>
      <c r="H49" s="10">
        <f>((C8*(1+C49)^C18+C9*(((1+C49)^C18-(1+C10)^C18)/(C49-C10)))/(1+H44)^C18)-(C13*((1-(1/((1+C49)/(1+H44)))^C19)/(((1+C49)/(1+H44)-1))))</f>
        <v>79023.1826881577</v>
      </c>
      <c r="I49" s="10">
        <f>((C8*(1+C49)^C18+C9*(((1+C49)^C18-(1+C10)^C18)/(C49-C10)))/(1+I44)^C18)-(C13*((1-(1/((1+C49)/(1+I44)))^C19)/(((1+C49)/(1+I44)-1))))</f>
        <v>-133989.177103579</v>
      </c>
      <c r="J49" s="10">
        <f>((C8*(1+C49)^C18+C9*(((1+C49)^C18-(1+C10)^C18)/(C49-C10)))/(1+J44)^C18)-(C13*((1-(1/((1+C49)/(1+J44)))^C19)/(((1+C49)/(1+J44)-1))))</f>
        <v>-325308.505502426</v>
      </c>
    </row>
    <row r="50" ht="15.75" customHeight="1">
      <c r="C50" s="25">
        <v>0.08</v>
      </c>
      <c r="D50" s="8">
        <f>((C8*(1+C50)^C18+C9*(((1+C50)^C18-(1+C10)^C18)/(C50-C10)))/(1+D44)^C18)-(C13*((1-(1/((1+C50)/(1+D44)))^C19)/(((1+C50)/(1+D44)-1))))</f>
        <v>1846458.25616332</v>
      </c>
      <c r="E50" s="8">
        <f>((C8*(1+C50)^C18+C9*(((1+C50)^C18-(1+C10)^C18)/(C50-C10)))/(1+E44)^C18)-(C13*((1-(1/((1+C50)/(1+E44)))^C19)/(((1+C50)/(1+E44)-1))))</f>
        <v>1406872.60046363</v>
      </c>
      <c r="F50" s="8">
        <f>((C8*(1+C50)^C18+C9*(((1+C50)^C18-(1+C10)^C18)/(C50-C10)))/(1+F44)^C18)-(C13*((1-(1/((1+C50)/(1+F44)))^C19)/(((1+C50)/(1+F44)-1))))</f>
        <v>1030660.18638346</v>
      </c>
      <c r="G50" s="8">
        <f>((C8*(1+C50)^C18+C9*(((1+C50)^C18-(1+C10)^C18)/(C50-C10)))/(1+G44)^C18)-(C13*((1-(1/((1+C50)/(1+G44)))^C19)/(((1+C50)/(1+G44)-1))))</f>
        <v>706690.571795929</v>
      </c>
      <c r="H50" s="8">
        <f>((C8*(1+C50)^C18+C9*(((1+C50)^C18-(1+C10)^C18)/(C50-C10)))/(1+H44)^C18)-(C13*((1-(1/((1+C50)/(1+H44)))^C19)/(((1+C50)/(1+H44)-1))))</f>
        <v>425676.235362206</v>
      </c>
      <c r="I50" s="8">
        <f>((C8*(1+C50)^C18+C9*(((1+C50)^C18-(1+C10)^C18)/(C50-C10)))/(1+I44)^C18)-(C13*((1-(1/((1+C50)/(1+I44)))^C19)/(((1+C50)/(1+I44)-1))))</f>
        <v>179848.26374626</v>
      </c>
      <c r="J50" s="8">
        <f>((C8*(1+C50)^C18+C9*(((1+C50)^C18-(1+C10)^C18)/(C50-C10)))/(1+J44)^C18)-(C13*((1-(1/((1+C50)/(1+J44)))^C19)/(((1+C50)/(1+J44)-1))))</f>
        <v>-37310.8172990956</v>
      </c>
    </row>
    <row r="51" ht="15.75" customHeight="1">
      <c r="C51" s="25">
        <v>0.09</v>
      </c>
      <c r="D51" s="10">
        <f>((C8*(1+C51)^C18+C9*(((1+C51)^C18-(1+C10)^C18)/(C51-C10)))/(1+D44)^C18)-(C13*((1-(1/((1+C51)/(1+D44)))^C19)/(((1+C51)/(1+D44)-1))))</f>
        <v>2560514.41485038</v>
      </c>
      <c r="E51" s="10">
        <f>((C8*(1+C51)^C18+C9*(((1+C51)^C18-(1+C10)^C18)/(C51-C10)))/(1+E44)^C18)-(C13*((1-(1/((1+C51)/(1+E44)))^C19)/(((1+C51)/(1+E44)-1))))</f>
        <v>2021208.83906079</v>
      </c>
      <c r="F51" s="10">
        <f>((C8*(1+C51)^C18+C9*(((1+C51)^C18-(1+C10)^C18)/(C51-C10)))/(1+F44)^C18)-(C13*((1-(1/((1+C51)/(1+F44)))^C19)/(((1+C51)/(1+F44)-1))))</f>
        <v>1562538.85178143</v>
      </c>
      <c r="G51" s="10">
        <f>((C8*(1+C51)^C18+C9*(((1+C51)^C18-(1+C10)^C18)/(C51-C10)))/(1+G44)^C18)-(C13*((1-(1/((1+C51)/(1+G44)))^C19)/(((1+C51)/(1+G44)-1))))</f>
        <v>1170595.04213782</v>
      </c>
      <c r="H51" s="10">
        <f>((C8*(1+C51)^C18+C9*(((1+C51)^C18-(1+C10)^C18)/(C51-C10)))/(1+H44)^C18)-(C13*((1-(1/((1+C51)/(1+H44)))^C19)/(((1+C51)/(1+H44)-1))))</f>
        <v>833791.541881524</v>
      </c>
      <c r="I51" s="10">
        <f>((C8*(1+C51)^C18+C9*(((1+C51)^C18-(1+C10)^C18)/(C51-C10)))/(1+I44)^C18)-(C13*((1-(1/((1+C51)/(1+I44)))^C19)/(((1+C51)/(1+I44)-1))))</f>
        <v>542458.985445546</v>
      </c>
      <c r="J51" s="10">
        <f>((C8*(1+C51)^C18+C9*(((1+C51)^C18-(1+C10)^C18)/(C51-C10)))/(1+J44)^C18)-(C13*((1-(1/((1+C51)/(1+J44)))^C19)/(((1+C51)/(1+J44)-1))))</f>
        <v>288509.350776649</v>
      </c>
    </row>
    <row r="52" ht="15.75" customHeight="1">
      <c r="C52" s="25">
        <v>0.1</v>
      </c>
      <c r="D52" s="8">
        <f>((C8*(1+C52)^C18+C9*(((1+C52)^C18-(1+C10)^C18)/(C52-C10)))/(1+D44)^C18)-(C13*((1-(1/((1+C52)/(1+D44)))^C19)/(((1+C52)/(1+D44)-1))))</f>
        <v>3458528.1794391</v>
      </c>
      <c r="E52" s="8">
        <f>((C8*(1+C52)^C18+C9*(((1+C52)^C18-(1+C10)^C18)/(C52-C10)))/(1+E44)^C18)-(C13*((1-(1/((1+C52)/(1+E44)))^C19)/(((1+C52)/(1+E44)-1))))</f>
        <v>2788449.65372541</v>
      </c>
      <c r="F52" s="8">
        <f>((C8*(1+C52)^C18+C9*(((1+C52)^C18-(1+C10)^C18)/(C52-C10)))/(1+F44)^C18)-(C13*((1-(1/((1+C52)/(1+F44)))^C19)/(((1+C52)/(1+F44)-1))))</f>
        <v>2221148.8676462</v>
      </c>
      <c r="G52" s="8">
        <f>((C8*(1+C52)^C18+C9*(((1+C52)^C18-(1+C10)^C18)/(C52-C10)))/(1+G44)^C18)-(C13*((1-(1/((1+C52)/(1+G44)))^C19)/(((1+C52)/(1+G44)-1))))</f>
        <v>1739110.40009468</v>
      </c>
      <c r="H52" s="8">
        <f>((C8*(1+C52)^C18+C9*(((1+C52)^C18-(1+C10)^C18)/(C52-C10)))/(1+H44)^C18)-(C13*((1-(1/((1+C52)/(1+H44)))^C19)/(((1+C52)/(1+H44)-1))))</f>
        <v>1327762.09678807</v>
      </c>
      <c r="I52" s="8">
        <f>((C8*(1+C52)^C18+C9*(((1+C52)^C18-(1+C10)^C18)/(C52-C10)))/(1+I44)^C18)-(C13*((1-(1/((1+C52)/(1+I44)))^C19)/(((1+C52)/(1+I44)-1))))</f>
        <v>974961.004561164</v>
      </c>
      <c r="J52" s="8">
        <f>((C8*(1+C52)^C18+C9*(((1+C52)^C18-(1+C10)^C18)/(C52-C10)))/(1+J44)^C18)-(C13*((1-(1/((1+C52)/(1+J44)))^C19)/(((1+C52)/(1+J44)-1))))</f>
        <v>670570.219435022</v>
      </c>
    </row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conditionalFormatting sqref="D46:J52">
    <cfRule type="cellIs" dxfId="0" priority="2" operator="lessThan" text="null">
      <formula>0</formula>
    </cfRule>
  </conditionalFormatting>
  <conditionalFormatting sqref="D46:J52">
    <cfRule type="cellIs" dxfId="1" priority="1" operator="greaterThan" text="null">
      <formula>0</formula>
    </cfRule>
  </conditionalFormatting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5EA7632-DF48-FFD8-1608-EB2DC903B7DF}" mc:Ignorable="x14ac xr xr2 xr3">
  <dimension ref="A1:CV10000"/>
  <sheetViews>
    <sheetView showGridLines="0" topLeftCell="A1" workbookViewId="0">
      <selection activeCell="U78" sqref="U78"/>
    </sheetView>
  </sheetViews>
  <sheetFormatPr defaultRowHeight="15" defaultColWidth="7.75390625" customHeight="1"/>
  <cols>
    <col min="2" max="2" width="31.625" customWidth="1"/>
    <col min="3" max="3" width="15.75390625" customWidth="1"/>
    <col min="4" max="4" width="12.75390625" customWidth="1"/>
    <col min="7" max="7" width="12.25390625" customWidth="1"/>
    <col min="10" max="10" width="17.00390625" customWidth="1"/>
    <col min="11" max="11" width="12.25390625" customWidth="1"/>
  </cols>
  <sheetData>
    <row r="1" ht="15" customHeight="1">
      <c r="A1" s="28" t="s">
        <v>4</v>
      </c>
      <c r="B1" s="28" t="s">
        <v>33</v>
      </c>
      <c r="C1" s="28" t="s">
        <v>34</v>
      </c>
      <c r="D1" s="28" t="s">
        <v>9</v>
      </c>
      <c r="E1" s="28"/>
      <c r="F1" s="28" t="s">
        <v>35</v>
      </c>
      <c r="G1" s="28" t="s">
        <v>36</v>
      </c>
      <c r="H1" s="28"/>
      <c r="I1" s="28" t="s">
        <v>4</v>
      </c>
      <c r="J1" s="28" t="s">
        <v>37</v>
      </c>
      <c r="K1" s="28" t="s">
        <v>38</v>
      </c>
    </row>
    <row r="2" ht="15" customHeight="1">
      <c r="A2" s="29" cm="1">
        <f t="array" ref="A2">Calculator!F6</f>
        <v>30</v>
      </c>
      <c r="B2" s="30">
        <f>Calculator!H6+Calculator!C8</f>
        <v>62000</v>
      </c>
      <c r="C2" s="30">
        <f>Calculator!K6-B2</f>
        <v>4340</v>
      </c>
      <c r="D2" s="30" cm="1">
        <f t="array" ref="D2">Calculator!K6</f>
        <v>66340</v>
      </c>
      <c r="F2" t="s">
        <v>39</v>
      </c>
      <c r="G2" s="30" cm="1">
        <f t="array" ref="G2">Calculator!C8</f>
        <v>50000</v>
      </c>
      <c r="I2" s="29" cm="1">
        <f t="array" ref="I2">Calculator!F6</f>
        <v>30</v>
      </c>
      <c r="J2" s="30" cm="1">
        <f t="array" ref="J2">Calculator!H6</f>
        <v>12000</v>
      </c>
      <c r="K2" s="30" cm="1">
        <f t="array" ref="K2">Calculator!I6</f>
        <v>4340</v>
      </c>
    </row>
    <row r="3" ht="15" customHeight="1">
      <c r="A3" s="29" cm="1">
        <f t="array" ref="A3">Calculator!F7</f>
        <v>31</v>
      </c>
      <c r="B3" s="30">
        <f>B2+Calculator!H7</f>
        <v>74360</v>
      </c>
      <c r="C3" s="30">
        <f>Calculator!K7-B3</f>
        <v>9849</v>
      </c>
      <c r="D3" s="30" cm="1">
        <f t="array" ref="D3">Calculator!K7</f>
        <v>84209</v>
      </c>
      <c r="F3" t="s">
        <v>25</v>
      </c>
      <c r="G3" s="30" cm="1">
        <f t="array" ref="G3">Calculator!C23</f>
        <v>725544.98174861</v>
      </c>
      <c r="I3" s="29" cm="1">
        <f t="array" ref="I3">Calculator!F7</f>
        <v>31</v>
      </c>
      <c r="J3" s="30" cm="1">
        <f t="array" ref="J3">Calculator!H7</f>
        <v>12360</v>
      </c>
      <c r="K3" s="30" cm="1">
        <f t="array" ref="K3">Calculator!I7</f>
        <v>5509</v>
      </c>
    </row>
    <row r="4" ht="15" customHeight="1">
      <c r="A4" s="29" cm="1">
        <f t="array" ref="A4">Calculator!F8</f>
        <v>32</v>
      </c>
      <c r="B4" s="30">
        <f>B3+Calculator!H8</f>
        <v>87090.8</v>
      </c>
      <c r="C4" s="30">
        <f>Calculator!K8-B4</f>
        <v>16634.786</v>
      </c>
      <c r="D4" s="30" cm="1">
        <f t="array" ref="D4">Calculator!K8</f>
        <v>103725.586</v>
      </c>
      <c r="F4" t="s">
        <v>34</v>
      </c>
      <c r="G4" s="30" cm="1">
        <f t="array" ref="G4">Calculator!C24</f>
        <v>2282216.90119046</v>
      </c>
      <c r="I4" s="29" cm="1">
        <f t="array" ref="I4">Calculator!F8</f>
        <v>32</v>
      </c>
      <c r="J4" s="30" cm="1">
        <f t="array" ref="J4">Calculator!H8</f>
        <v>12730.8</v>
      </c>
      <c r="K4" s="30" cm="1">
        <f t="array" ref="K4">Calculator!I8</f>
        <v>6785.786</v>
      </c>
    </row>
    <row r="5" ht="15" customHeight="1">
      <c r="A5" s="29" cm="1">
        <f t="array" ref="A5">Calculator!F9</f>
        <v>33</v>
      </c>
      <c r="B5" s="30">
        <f>B4+Calculator!H9</f>
        <v>100203.524</v>
      </c>
      <c r="C5" s="30">
        <f>Calculator!K9-B5</f>
        <v>24813.4677</v>
      </c>
      <c r="D5" s="30" cm="1">
        <f t="array" ref="D5">Calculator!K9</f>
        <v>125016.9917</v>
      </c>
      <c r="I5" s="29" cm="1">
        <f t="array" ref="I5">Calculator!F9</f>
        <v>33</v>
      </c>
      <c r="J5" s="30" cm="1">
        <f t="array" ref="J5">Calculator!H9</f>
        <v>13112.724</v>
      </c>
      <c r="K5" s="30" cm="1">
        <f t="array" ref="K5">Calculator!I9</f>
        <v>8178.6817</v>
      </c>
    </row>
    <row r="6" ht="15" customHeight="1">
      <c r="A6" s="29" cm="1">
        <f t="array" ref="A6">Calculator!F10</f>
        <v>34</v>
      </c>
      <c r="B6" s="30">
        <f>B5+Calculator!H10</f>
        <v>113709.62972</v>
      </c>
      <c r="C6" s="30">
        <f>Calculator!K10-B6</f>
        <v>34510.0845194</v>
      </c>
      <c r="D6" s="30" cm="1">
        <f t="array" ref="D6">Calculator!K10</f>
        <v>148219.7142394</v>
      </c>
      <c r="I6" s="29" cm="1">
        <f t="array" ref="I6">Calculator!F10</f>
        <v>34</v>
      </c>
      <c r="J6" s="30" cm="1">
        <f t="array" ref="J6">Calculator!H10</f>
        <v>13506.10572</v>
      </c>
      <c r="K6" s="30" cm="1">
        <f t="array" ref="K6">Calculator!I10</f>
        <v>9696.6168194</v>
      </c>
    </row>
    <row r="7" ht="15" customHeight="1">
      <c r="A7" s="29" cm="1">
        <f t="array" ref="A7">Calculator!F11</f>
        <v>35</v>
      </c>
      <c r="B7" s="30">
        <f>B6+Calculator!H11</f>
        <v>127620.9186116</v>
      </c>
      <c r="C7" s="30">
        <f>Calculator!K11-B7</f>
        <v>45859.25473857</v>
      </c>
      <c r="D7" s="30" cm="1">
        <f t="array" ref="D7">Calculator!K11</f>
        <v>173480.17335017</v>
      </c>
      <c r="I7" s="29" cm="1">
        <f t="array" ref="I7">Calculator!F11</f>
        <v>35</v>
      </c>
      <c r="J7" s="30" cm="1">
        <f t="array" ref="J7">Calculator!H11</f>
        <v>13911.2888916</v>
      </c>
      <c r="K7" s="30" cm="1">
        <f t="array" ref="K7">Calculator!I11</f>
        <v>11349.17021917</v>
      </c>
    </row>
    <row r="8" ht="15" customHeight="1">
      <c r="A8" s="29" cm="1">
        <f t="array" ref="A8">Calculator!F12</f>
        <v>36</v>
      </c>
      <c r="B8" s="30">
        <f>B7+Calculator!H12</f>
        <v>141949.546169948</v>
      </c>
      <c r="C8" s="30">
        <f>Calculator!K12-B8</f>
        <v>59005.870802166</v>
      </c>
      <c r="D8" s="30" cm="1">
        <f t="array" ref="D8">Calculator!K12</f>
        <v>200955.416972114</v>
      </c>
      <c r="I8" s="29" cm="1">
        <f t="array" ref="I8">Calculator!F12</f>
        <v>36</v>
      </c>
      <c r="J8" s="30" cm="1">
        <f t="array" ref="J8">Calculator!H12</f>
        <v>14328.627558348</v>
      </c>
      <c r="K8" s="30" cm="1">
        <f t="array" ref="K8">Calculator!I12</f>
        <v>13146.6160635963</v>
      </c>
    </row>
    <row r="9" ht="15" customHeight="1">
      <c r="A9" s="29" cm="1">
        <f t="array" ref="A9">Calculator!F13</f>
        <v>37</v>
      </c>
      <c r="B9" s="30">
        <f>B8+Calculator!H13</f>
        <v>156708.032555046</v>
      </c>
      <c r="C9" s="30">
        <f>Calculator!K13-B9</f>
        <v>74105.844037171</v>
      </c>
      <c r="D9" s="30" cm="1">
        <f t="array" ref="D9">Calculator!K13</f>
        <v>230813.876592217</v>
      </c>
      <c r="I9" s="29" cm="1">
        <f t="array" ref="I9">Calculator!F13</f>
        <v>37</v>
      </c>
      <c r="J9" s="30" cm="1">
        <f t="array" ref="J9">Calculator!H13</f>
        <v>14758.4863850984</v>
      </c>
      <c r="K9" s="30" cm="1">
        <f t="array" ref="K9">Calculator!I13</f>
        <v>15099.9732350049</v>
      </c>
    </row>
    <row r="10" ht="15" customHeight="1">
      <c r="A10" s="29" cm="1">
        <f t="array" ref="A10">Calculator!F14</f>
        <v>38</v>
      </c>
      <c r="B10" s="30">
        <f>B9+Calculator!H14</f>
        <v>171909.273531697</v>
      </c>
      <c r="C10" s="30">
        <f>Calculator!K14-B10</f>
        <v>91326.902266992</v>
      </c>
      <c r="D10" s="30" cm="1">
        <f t="array" ref="D10">Calculator!K14</f>
        <v>263236.175798689</v>
      </c>
      <c r="I10" s="29" cm="1">
        <f t="array" ref="I10">Calculator!F14</f>
        <v>38</v>
      </c>
      <c r="J10" s="30" cm="1">
        <f t="array" ref="J10">Calculator!H14</f>
        <v>15201.2409766514</v>
      </c>
      <c r="K10" s="30" cm="1">
        <f t="array" ref="K10">Calculator!I14</f>
        <v>17221.0582298208</v>
      </c>
    </row>
    <row r="11" ht="15" customHeight="1">
      <c r="A11" s="29" cm="1">
        <f t="array" ref="A11">Calculator!F15</f>
        <v>39</v>
      </c>
      <c r="B11" s="30">
        <f>B10+Calculator!H15</f>
        <v>187566.551737648</v>
      </c>
      <c r="C11" s="30">
        <f>Calculator!K15-B11</f>
        <v>110849.444047317</v>
      </c>
      <c r="D11" s="30" cm="1">
        <f t="array" ref="D11">Calculator!K15</f>
        <v>298415.995784965</v>
      </c>
      <c r="I11" s="29" cm="1">
        <f t="array" ref="I11">Calculator!F15</f>
        <v>39</v>
      </c>
      <c r="J11" s="30" cm="1">
        <f t="array" ref="J11">Calculator!H15</f>
        <v>15657.2782059509</v>
      </c>
      <c r="K11" s="30" cm="1">
        <f t="array" ref="K11">Calculator!I15</f>
        <v>19522.5417803248</v>
      </c>
    </row>
    <row r="12" ht="15" customHeight="1">
      <c r="A12" s="29" cm="1">
        <f t="array" ref="A12">Calculator!F16</f>
        <v>40</v>
      </c>
      <c r="B12" s="30">
        <f>B11+Calculator!H16</f>
        <v>203693.548289777</v>
      </c>
      <c r="C12" s="30">
        <f>Calculator!K16-B12</f>
        <v>132867.453510914</v>
      </c>
      <c r="D12" s="30" cm="1">
        <f t="array" ref="D12">Calculator!K16</f>
        <v>336561.001800691</v>
      </c>
      <c r="I12" s="29" cm="1">
        <f t="array" ref="I12">Calculator!F16</f>
        <v>40</v>
      </c>
      <c r="J12" s="30" cm="1">
        <f t="array" ref="J12">Calculator!H16</f>
        <v>16126.9965521294</v>
      </c>
      <c r="K12" s="30" cm="1">
        <f t="array" ref="K12">Calculator!I16</f>
        <v>22018.0094635966</v>
      </c>
    </row>
    <row r="13" ht="15" customHeight="1">
      <c r="A13" s="29" cm="1">
        <f t="array" ref="A13">Calculator!F17</f>
        <v>41</v>
      </c>
      <c r="B13" s="30">
        <f>B12+Calculator!H17</f>
        <v>220304.35473847</v>
      </c>
      <c r="C13" s="30">
        <f>Calculator!K17-B13</f>
        <v>157589.480088371</v>
      </c>
      <c r="D13" s="30" cm="1">
        <f t="array" ref="D13">Calculator!K17</f>
        <v>377893.834826841</v>
      </c>
      <c r="I13" s="29" cm="1">
        <f t="array" ref="I13">Calculator!F17</f>
        <v>41</v>
      </c>
      <c r="J13" s="30" cm="1">
        <f t="array" ref="J13">Calculator!H17</f>
        <v>16610.8064486933</v>
      </c>
      <c r="K13" s="30" cm="1">
        <f t="array" ref="K13">Calculator!I17</f>
        <v>24722.0265774569</v>
      </c>
    </row>
    <row r="14" ht="15" customHeight="1">
      <c r="A14" s="29" cm="1">
        <f t="array" ref="A14">Calculator!F18</f>
        <v>42</v>
      </c>
      <c r="B14" s="30">
        <f>B13+Calculator!H18</f>
        <v>237413.485380624</v>
      </c>
      <c r="C14" s="30">
        <f>Calculator!K18-B14</f>
        <v>185239.687671201</v>
      </c>
      <c r="D14" s="30" cm="1">
        <f t="array" ref="D14">Calculator!K18</f>
        <v>422653.173051825</v>
      </c>
      <c r="I14" s="29" cm="1">
        <f t="array" ref="I14">Calculator!F18</f>
        <v>42</v>
      </c>
      <c r="J14" s="30" cm="1">
        <f t="array" ref="J14">Calculator!H18</f>
        <v>17109.1306421541</v>
      </c>
      <c r="K14" s="30" cm="1">
        <f t="array" ref="K14">Calculator!I18</f>
        <v>27650.2075828297</v>
      </c>
    </row>
    <row r="15" ht="15" customHeight="1">
      <c r="A15" s="29" cm="1">
        <f t="array" ref="A15">Calculator!F19</f>
        <v>43</v>
      </c>
      <c r="B15" s="30">
        <f>B14+Calculator!H19</f>
        <v>255035.889942043</v>
      </c>
      <c r="C15" s="30">
        <f>Calculator!K19-B15</f>
        <v>216058.978104128</v>
      </c>
      <c r="D15" s="30" cm="1">
        <f t="array" ref="D15">Calculator!K19</f>
        <v>471094.868046171</v>
      </c>
      <c r="I15" s="29" cm="1">
        <f t="array" ref="I15">Calculator!F19</f>
        <v>43</v>
      </c>
      <c r="J15" s="30" cm="1">
        <f t="array" ref="J15">Calculator!H19</f>
        <v>17622.4045614187</v>
      </c>
      <c r="K15" s="30" cm="1">
        <f t="array" ref="K15">Calculator!I19</f>
        <v>30819.2904329271</v>
      </c>
    </row>
    <row r="16" ht="15" customHeight="1">
      <c r="A16" s="29" cm="1">
        <f t="array" ref="A16">Calculator!F20</f>
        <v>44</v>
      </c>
      <c r="B16" s="30">
        <f>B15+Calculator!H20</f>
        <v>273186.966640304</v>
      </c>
      <c r="C16" s="30">
        <f>Calculator!K20-B16</f>
        <v>250306.194236239</v>
      </c>
      <c r="D16" s="30" cm="1">
        <f t="array" ref="D16">Calculator!K20</f>
        <v>523493.160876543</v>
      </c>
      <c r="I16" s="29" cm="1">
        <f t="array" ref="I16">Calculator!F20</f>
        <v>44</v>
      </c>
      <c r="J16" s="30" cm="1">
        <f t="array" ref="J16">Calculator!H20</f>
        <v>18151.0766982613</v>
      </c>
      <c r="K16" s="30" cm="1">
        <f t="array" ref="K16">Calculator!I20</f>
        <v>34247.2161321103</v>
      </c>
    </row>
    <row r="17" ht="15" customHeight="1">
      <c r="A17" s="29" cm="1">
        <f t="array" ref="A17">Calculator!F21</f>
        <v>45</v>
      </c>
      <c r="B17" s="30">
        <f>B16+Calculator!H21</f>
        <v>291882.575639513</v>
      </c>
      <c r="C17" s="30">
        <f>Calculator!K21-B17</f>
        <v>288259.408127542</v>
      </c>
      <c r="D17" s="30" cm="1">
        <f t="array" ref="D17">Calculator!K21</f>
        <v>580141.983767055</v>
      </c>
      <c r="I17" s="29" cm="1">
        <f t="array" ref="I17">Calculator!F21</f>
        <v>45</v>
      </c>
      <c r="J17" s="30" cm="1">
        <f t="array" ref="J17">Calculator!H21</f>
        <v>18695.6089992091</v>
      </c>
      <c r="K17" s="30" cm="1">
        <f t="array" ref="K17">Calculator!I21</f>
        <v>37953.2138913027</v>
      </c>
    </row>
    <row r="18" ht="15" customHeight="1">
      <c r="A18" s="29" cm="1">
        <f t="array" ref="A18">Calculator!F22</f>
        <v>46</v>
      </c>
      <c r="B18" s="30">
        <f>B17+Calculator!H22</f>
        <v>311139.052908698</v>
      </c>
      <c r="C18" s="30">
        <f>Calculator!K22-B18</f>
        <v>330217.300400079</v>
      </c>
      <c r="D18" s="30" cm="1">
        <f t="array" ref="D18">Calculator!K22</f>
        <v>641356.353308777</v>
      </c>
      <c r="I18" s="29" cm="1">
        <f t="array" ref="I18">Calculator!F22</f>
        <v>46</v>
      </c>
      <c r="J18" s="30" cm="1">
        <f t="array" ref="J18">Calculator!H22</f>
        <v>19256.4772691854</v>
      </c>
      <c r="K18" s="30" cm="1">
        <f t="array" ref="K18">Calculator!I22</f>
        <v>41957.8922725368</v>
      </c>
    </row>
    <row r="19" ht="15" customHeight="1">
      <c r="A19" s="29" cm="1">
        <f t="array" ref="A19">Calculator!F23</f>
        <v>47</v>
      </c>
      <c r="B19" s="30">
        <f>B18+Calculator!H23</f>
        <v>330973.224495959</v>
      </c>
      <c r="C19" s="30">
        <f>Calculator!K23-B19</f>
        <v>376500.637142802</v>
      </c>
      <c r="D19" s="30" cm="1">
        <f t="array" ref="D19">Calculator!K23</f>
        <v>707473.861638761</v>
      </c>
      <c r="I19" s="29" cm="1">
        <f t="array" ref="I19">Calculator!F23</f>
        <v>47</v>
      </c>
      <c r="J19" s="30" cm="1">
        <f t="array" ref="J19">Calculator!H23</f>
        <v>19834.171587261</v>
      </c>
      <c r="K19" s="30" cm="1">
        <f t="array" ref="K19">Calculator!I23</f>
        <v>46283.3367427227</v>
      </c>
    </row>
    <row r="20" ht="15" customHeight="1">
      <c r="A20" s="29" cm="1">
        <f t="array" ref="A20">Calculator!F24</f>
        <v>48</v>
      </c>
      <c r="B20" s="30">
        <f>B19+Calculator!H24</f>
        <v>351402.421230838</v>
      </c>
      <c r="C20" s="30">
        <f>Calculator!K24-B20</f>
        <v>427453.851228957</v>
      </c>
      <c r="D20" s="30" cm="1">
        <f t="array" ref="D20">Calculator!K24</f>
        <v>778856.272459795</v>
      </c>
      <c r="I20" s="29" cm="1">
        <f t="array" ref="I20">Calculator!F24</f>
        <v>48</v>
      </c>
      <c r="J20" s="30" cm="1">
        <f t="array" ref="J20">Calculator!H24</f>
        <v>20429.1967348788</v>
      </c>
      <c r="K20" s="30" cm="1">
        <f t="array" ref="K20">Calculator!I24</f>
        <v>50953.2140861548</v>
      </c>
    </row>
    <row r="21" ht="15" customHeight="1">
      <c r="A21" s="29" cm="1">
        <f t="array" ref="A21">Calculator!F25</f>
        <v>49</v>
      </c>
      <c r="B21" s="30">
        <f>B20+Calculator!H25</f>
        <v>372444.493867763</v>
      </c>
      <c r="C21" s="30">
        <f>Calculator!K25-B21</f>
        <v>483446.735385728</v>
      </c>
      <c r="D21" s="30" cm="1">
        <f t="array" ref="D21">Calculator!K25</f>
        <v>855891.229253491</v>
      </c>
      <c r="I21" s="29" cm="1">
        <f t="array" ref="I21">Calculator!F25</f>
        <v>49</v>
      </c>
      <c r="J21" s="30" cm="1">
        <f t="array" ref="J21">Calculator!H25</f>
        <v>21042.0726369252</v>
      </c>
      <c r="K21" s="30" cm="1">
        <f t="array" ref="K21">Calculator!I25</f>
        <v>55992.8841567704</v>
      </c>
    </row>
    <row r="22" ht="15" customHeight="1">
      <c r="A22" s="29" cm="1">
        <f t="array" ref="A22">Calculator!F26</f>
        <v>50</v>
      </c>
      <c r="B22" s="30">
        <f>B21+Calculator!H26</f>
        <v>394117.828683796</v>
      </c>
      <c r="C22" s="30">
        <f>Calculator!K26-B22</f>
        <v>544876.254870595</v>
      </c>
      <c r="D22" s="30" cm="1">
        <f t="array" ref="D22">Calculator!K26</f>
        <v>938994.083554391</v>
      </c>
      <c r="I22" s="29" cm="1">
        <f t="array" ref="I22">Calculator!F26</f>
        <v>50</v>
      </c>
      <c r="J22" s="30" cm="1">
        <f t="array" ref="J22">Calculator!H26</f>
        <v>21673.334816033</v>
      </c>
      <c r="K22" s="30" cm="1">
        <f t="array" ref="K22">Calculator!I26</f>
        <v>61429.5194848667</v>
      </c>
    </row>
    <row r="23" ht="15" customHeight="1">
      <c r="A23" s="29" cm="1">
        <f t="array" ref="A23">Calculator!F27</f>
        <v>51</v>
      </c>
      <c r="B23" s="30">
        <f>B22+Calculator!H27</f>
        <v>416441.36354431</v>
      </c>
      <c r="C23" s="30">
        <f>Calculator!K27-B23</f>
        <v>612168.48815964</v>
      </c>
      <c r="D23" s="30" cm="1">
        <f t="array" ref="D23">Calculator!K27</f>
        <v>1028609.85170395</v>
      </c>
      <c r="I23" s="29" cm="1">
        <f t="array" ref="I23">Calculator!F27</f>
        <v>51</v>
      </c>
      <c r="J23" s="30" cm="1">
        <f t="array" ref="J23">Calculator!H27</f>
        <v>22323.534860514</v>
      </c>
      <c r="K23" s="30" cm="1">
        <f t="array" ref="K23">Calculator!I27</f>
        <v>67292.2332890434</v>
      </c>
    </row>
    <row r="24" ht="15" customHeight="1">
      <c r="A24" s="29" cm="1">
        <f t="array" ref="A24">Calculator!F28</f>
        <v>52</v>
      </c>
      <c r="B24" s="30">
        <f>B23+Calculator!H28</f>
        <v>439434.604450639</v>
      </c>
      <c r="C24" s="30">
        <f>Calculator!K28-B24</f>
        <v>685780.704642361</v>
      </c>
      <c r="D24" s="30" cm="1">
        <f t="array" ref="D24">Calculator!K28</f>
        <v>1125215.309093</v>
      </c>
      <c r="I24" s="29" cm="1">
        <f t="array" ref="I24">Calculator!F28</f>
        <v>52</v>
      </c>
      <c r="J24" s="30" cm="1">
        <f t="array" ref="J24">Calculator!H28</f>
        <v>22993.2409063294</v>
      </c>
      <c r="K24" s="30" cm="1">
        <f t="array" ref="K24">Calculator!I28</f>
        <v>73612.2164827196</v>
      </c>
    </row>
    <row r="25" ht="15" customHeight="1">
      <c r="A25" s="29" cm="1">
        <f t="array" ref="A25">Calculator!F29</f>
        <v>53</v>
      </c>
      <c r="B25" s="30">
        <f>B24+Calculator!H29</f>
        <v>463117.642584158</v>
      </c>
      <c r="C25" s="30">
        <f>Calculator!K29-B25</f>
        <v>766203.588948222</v>
      </c>
      <c r="D25" s="30" cm="1">
        <f t="array" ref="D25">Calculator!K29</f>
        <v>1229321.23153238</v>
      </c>
      <c r="I25" s="29" cm="1">
        <f t="array" ref="I25">Calculator!F29</f>
        <v>53</v>
      </c>
      <c r="J25" s="30" cm="1">
        <f t="array" ref="J25">Calculator!H29</f>
        <v>23683.0381335193</v>
      </c>
      <c r="K25" s="30" cm="1">
        <f t="array" ref="K25">Calculator!I29</f>
        <v>80422.8843058564</v>
      </c>
    </row>
    <row r="26" ht="15" customHeight="1">
      <c r="A26" s="29" cm="1">
        <f t="array" ref="A26">Calculator!F30</f>
        <v>54</v>
      </c>
      <c r="B26" s="30">
        <f>B25+Calculator!H30</f>
        <v>487511.171861683</v>
      </c>
      <c r="C26" s="30">
        <f>Calculator!K30-B26</f>
        <v>853963.622204917</v>
      </c>
      <c r="D26" s="30" cm="1">
        <f t="array" ref="D26">Calculator!K30</f>
        <v>1341474.7940666</v>
      </c>
      <c r="I26" s="29" cm="1">
        <f t="array" ref="I26">Calculator!F30</f>
        <v>54</v>
      </c>
      <c r="J26" s="30" cm="1">
        <f t="array" ref="J26">Calculator!H30</f>
        <v>24393.5292775249</v>
      </c>
      <c r="K26" s="30" cm="1">
        <f t="array" ref="K26">Calculator!I30</f>
        <v>87760.0332566934</v>
      </c>
    </row>
    <row r="27" ht="15" customHeight="1">
      <c r="A27" s="29" cm="1">
        <f t="array" ref="A27">Calculator!F31</f>
        <v>55</v>
      </c>
      <c r="B27" s="30">
        <f>B26+Calculator!H31</f>
        <v>512636.507017534</v>
      </c>
      <c r="C27" s="30">
        <f>Calculator!K31-B27</f>
        <v>949625.631250486</v>
      </c>
      <c r="D27" s="30" cm="1">
        <f t="array" ref="D27">Calculator!K31</f>
        <v>1462262.13826802</v>
      </c>
      <c r="I27" s="29" cm="1">
        <f t="array" ref="I27">Calculator!F31</f>
        <v>55</v>
      </c>
      <c r="J27" s="30" cm="1">
        <f t="array" ref="J27">Calculator!H31</f>
        <v>25125.3351558506</v>
      </c>
      <c r="K27" s="30" cm="1">
        <f t="array" ref="K27">Calculator!I31</f>
        <v>95662.0090455716</v>
      </c>
    </row>
    <row r="28" ht="15" customHeight="1">
      <c r="A28" s="29" cm="1">
        <f t="array" ref="A28">Calculator!F32</f>
        <v>56</v>
      </c>
      <c r="B28" s="30">
        <f>B27+Calculator!H32</f>
        <v>538515.60222806</v>
      </c>
      <c r="C28" s="30">
        <f>Calculator!K32-B28</f>
        <v>1053795.51759398</v>
      </c>
      <c r="D28" s="30" cm="1">
        <f t="array" ref="D28">Calculator!K32</f>
        <v>1592311.11982204</v>
      </c>
      <c r="I28" s="29" cm="1">
        <f t="array" ref="I28">Calculator!F32</f>
        <v>56</v>
      </c>
      <c r="J28" s="30" cm="1">
        <f t="array" ref="J28">Calculator!H32</f>
        <v>25879.0952105261</v>
      </c>
      <c r="K28" s="30" cm="1">
        <f t="array" ref="K28">Calculator!I32</f>
        <v>104169.886343498</v>
      </c>
    </row>
    <row r="29" ht="15" customHeight="1">
      <c r="A29" s="29" cm="1">
        <f t="array" ref="A29">Calculator!F33</f>
        <v>57</v>
      </c>
      <c r="B29" s="30">
        <f>B28+Calculator!H33</f>
        <v>565171.070294902</v>
      </c>
      <c r="C29" s="30">
        <f>Calculator!K33-B29</f>
        <v>1167123.1787462</v>
      </c>
      <c r="D29" s="30" cm="1">
        <f t="array" ref="D29">Calculator!K33</f>
        <v>1732294.2490411</v>
      </c>
      <c r="I29" s="29" cm="1">
        <f t="array" ref="I29">Calculator!F33</f>
        <v>57</v>
      </c>
      <c r="J29" s="30" cm="1">
        <f t="array" ref="J29">Calculator!H33</f>
        <v>26655.4680668419</v>
      </c>
      <c r="K29" s="30" cm="1">
        <f t="array" ref="K29">Calculator!I33</f>
        <v>113327.661152222</v>
      </c>
    </row>
    <row r="30" ht="15" customHeight="1">
      <c r="A30" s="29" cm="1">
        <f t="array" ref="A30">Calculator!F34</f>
        <v>58</v>
      </c>
      <c r="B30" s="30">
        <f>B29+Calculator!H34</f>
        <v>592626.202403749</v>
      </c>
      <c r="C30" s="30">
        <f>Calculator!K34-B30</f>
        <v>1290305.63542669</v>
      </c>
      <c r="D30" s="30" cm="1">
        <f t="array" ref="D30">Calculator!K34</f>
        <v>1882931.83783044</v>
      </c>
      <c r="I30" s="29" cm="1">
        <f t="array" ref="I30">Calculator!F34</f>
        <v>58</v>
      </c>
      <c r="J30" s="30" cm="1">
        <f t="array" ref="J30">Calculator!H34</f>
        <v>27455.1321088472</v>
      </c>
      <c r="K30" s="30" cm="1">
        <f t="array" ref="K30">Calculator!I34</f>
        <v>123182.456680496</v>
      </c>
    </row>
    <row r="31" ht="15" customHeight="1">
      <c r="A31" s="29" cm="1">
        <f t="array" ref="A31">Calculator!F35</f>
        <v>59</v>
      </c>
      <c r="B31" s="30">
        <f>B30+Calculator!H35</f>
        <v>620904.988475862</v>
      </c>
      <c r="C31" s="30">
        <f>Calculator!K35-B31</f>
        <v>1424090.37909987</v>
      </c>
      <c r="D31" s="30" cm="1">
        <f t="array" ref="D31">Calculator!K35</f>
        <v>2044995.36757573</v>
      </c>
      <c r="I31" s="29" cm="1">
        <f t="array" ref="I31">Calculator!F35</f>
        <v>59</v>
      </c>
      <c r="J31" s="30" cm="1">
        <f t="array" ref="J31">Calculator!H35</f>
        <v>28278.7860721126</v>
      </c>
      <c r="K31" s="30" cm="1">
        <f t="array" ref="K31">Calculator!I35</f>
        <v>133784.743673179</v>
      </c>
    </row>
    <row r="32" ht="15" customHeight="1">
      <c r="A32" s="29" cm="1">
        <f t="array" ref="A32">Calculator!F36</f>
        <v>60</v>
      </c>
      <c r="B32" s="30">
        <f>B31+Calculator!H36</f>
        <v>650032.138130138</v>
      </c>
      <c r="C32" s="30">
        <f>Calculator!K36-B32</f>
        <v>1569278.95530597</v>
      </c>
      <c r="D32" s="30" cm="1">
        <f t="array" ref="D32">Calculator!K36</f>
        <v>2219311.09343611</v>
      </c>
      <c r="I32" s="29" cm="1">
        <f t="array" ref="I32">Calculator!F36</f>
        <v>60</v>
      </c>
      <c r="J32" s="30" cm="1">
        <f t="array" ref="J32">Calculator!H36</f>
        <v>29127.149654276</v>
      </c>
      <c r="K32" s="30" cm="1">
        <f t="array" ref="K32">Calculator!I36</f>
        <v>145188.5762061</v>
      </c>
    </row>
    <row r="33" ht="15" customHeight="1">
      <c r="A33" s="29" cm="1">
        <f t="array" ref="A33">Calculator!F37</f>
        <v>61</v>
      </c>
      <c r="B33" s="30">
        <f>B32+Calculator!H37</f>
        <v>680033.102274042</v>
      </c>
      <c r="C33" s="30">
        <f>Calculator!K37-B33</f>
        <v>1726730.79933658</v>
      </c>
      <c r="D33" s="30" cm="1">
        <f t="array" ref="D33">Calculator!K37</f>
        <v>2406763.90161062</v>
      </c>
      <c r="I33" s="29" cm="1">
        <f t="array" ref="I33">Calculator!F37</f>
        <v>61</v>
      </c>
      <c r="J33" s="30" cm="1">
        <f t="array" ref="J33">Calculator!H37</f>
        <v>30000.9641439043</v>
      </c>
      <c r="K33" s="30" cm="1">
        <f t="array" ref="K33">Calculator!I37</f>
        <v>157451.844030601</v>
      </c>
    </row>
    <row r="34" ht="15" customHeight="1">
      <c r="A34" s="29" cm="1">
        <f t="array" ref="A34">Calculator!F38</f>
        <v>62</v>
      </c>
      <c r="B34" s="30">
        <f>B33+Calculator!H38</f>
        <v>710934.095342263</v>
      </c>
      <c r="C34" s="30">
        <f>Calculator!K38-B34</f>
        <v>1897367.3419641</v>
      </c>
      <c r="D34" s="30" cm="1">
        <f t="array" ref="D34">Calculator!K38</f>
        <v>2608301.43730636</v>
      </c>
      <c r="I34" s="29" cm="1">
        <f t="array" ref="I34">Calculator!F38</f>
        <v>62</v>
      </c>
      <c r="J34" s="30" cm="1">
        <f t="array" ref="J34">Calculator!H38</f>
        <v>30900.9930682214</v>
      </c>
      <c r="K34" s="30" cm="1">
        <f t="array" ref="K34">Calculator!I38</f>
        <v>170636.542627519</v>
      </c>
    </row>
    <row r="35" ht="15" customHeight="1">
      <c r="A35" s="29" cm="1">
        <f t="array" ref="A35">Calculator!F39</f>
        <v>63</v>
      </c>
      <c r="B35" s="30">
        <f>B34+Calculator!H39</f>
        <v>742762.118202531</v>
      </c>
      <c r="C35" s="30">
        <f>Calculator!K39-B35</f>
        <v>2082176.40417576</v>
      </c>
      <c r="D35" s="30" cm="1">
        <f t="array" ref="D35">Calculator!K39</f>
        <v>2824938.52237829</v>
      </c>
      <c r="I35" s="29" cm="1">
        <f t="array" ref="I35">Calculator!F39</f>
        <v>63</v>
      </c>
      <c r="J35" s="30" cm="1">
        <f t="array" ref="J35">Calculator!H39</f>
        <v>31828.022860268</v>
      </c>
      <c r="K35" s="30" cm="1">
        <f t="array" ref="K35">Calculator!I39</f>
        <v>184809.062211664</v>
      </c>
    </row>
    <row r="36" ht="15" customHeight="1">
      <c r="A36" s="29" cm="1">
        <f t="array" ref="A36">Calculator!F40</f>
        <v>64</v>
      </c>
      <c r="B36" s="30">
        <f>B35+Calculator!H40</f>
        <v>775544.981748607</v>
      </c>
      <c r="C36" s="30">
        <f>Calculator!K40-B36</f>
        <v>2282216.90119046</v>
      </c>
      <c r="D36" s="30" cm="1">
        <f t="array" ref="D36">Calculator!K40</f>
        <v>3057761.88293907</v>
      </c>
      <c r="I36" s="29" cm="1">
        <f t="array" ref="I36">Calculator!F40</f>
        <v>64</v>
      </c>
      <c r="J36" s="30" cm="1">
        <f t="array" ref="J36">Calculator!H40</f>
        <v>32782.863546076</v>
      </c>
      <c r="K36" s="30" cm="1">
        <f t="array" ref="K36">Calculator!I40</f>
        <v>200040.497014706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drawing r:id="rId1"/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FA43B06-AD97-4CD8-9C62-2B2F6321B7F7}" mc:Ignorable="x14ac xr xr2 xr3">
  <dimension ref="A1:CV10000"/>
  <sheetViews>
    <sheetView showGridLines="0" topLeftCell="A1" workbookViewId="0" tabSelected="1">
      <selection activeCell="A1" sqref="A1"/>
    </sheetView>
  </sheetViews>
  <sheetFormatPr defaultRowHeight="15" defaultColWidth="7.75390625" customHeight="1"/>
  <cols>
    <col min="1" max="1" width="1.25390625" customWidth="1"/>
    <col min="2" max="2" width="25.00390625" customWidth="1"/>
    <col min="3" max="4" width="15.00390625" customWidth="1"/>
    <col min="5" max="10" width="16.25390625" customWidth="1"/>
    <col min="11" max="14" width="18.75390625" customWidth="1"/>
  </cols>
  <sheetData>
    <row r="2" ht="21" customHeight="1">
      <c r="B2" s="31" t="s">
        <v>40</v>
      </c>
    </row>
    <row r="4" ht="15" customHeight="1">
      <c r="B4" s="32" t="s">
        <v>41</v>
      </c>
      <c r="C4" s="32" t="s">
        <v>42</v>
      </c>
      <c r="D4" s="32" t="s">
        <v>43</v>
      </c>
      <c r="E4" s="32" t="s">
        <v>44</v>
      </c>
      <c r="F4" s="32" t="s">
        <v>11</v>
      </c>
      <c r="G4" s="32" t="s">
        <v>39</v>
      </c>
      <c r="H4" s="32" t="s">
        <v>37</v>
      </c>
      <c r="I4" s="32" t="s">
        <v>45</v>
      </c>
      <c r="J4" s="32" t="s">
        <v>46</v>
      </c>
      <c r="K4" s="32" t="s">
        <v>47</v>
      </c>
      <c r="L4" s="32" t="s">
        <v>48</v>
      </c>
      <c r="M4" s="32" t="s">
        <v>49</v>
      </c>
      <c r="N4" s="32" t="s">
        <v>50</v>
      </c>
    </row>
    <row r="5" ht="15" customHeight="1">
      <c r="B5" s="33" t="s">
        <v>51</v>
      </c>
      <c r="C5" s="33" t="s">
        <v>52</v>
      </c>
      <c r="D5" s="33" t="s">
        <v>53</v>
      </c>
      <c r="E5" s="33">
        <v>25</v>
      </c>
      <c r="F5" s="33">
        <v>65</v>
      </c>
      <c r="G5" s="34">
        <v>20000</v>
      </c>
      <c r="H5" s="34">
        <v>8000</v>
      </c>
      <c r="I5" s="35">
        <v>0.04</v>
      </c>
      <c r="J5" s="35">
        <v>0.02</v>
      </c>
      <c r="K5" s="33">
        <f t="shared" si="0" ref="K5:K28">F5-E5</f>
        <v>40</v>
      </c>
      <c r="L5" s="34">
        <f t="shared" si="1" ref="L5:L28">(G5*(1+I5)^K5+H5*(((1+I5)^K5-(1+0.03)^K5)/(I5-0.03)))/(1+J5)^K5</f>
        <v>601079.18493456</v>
      </c>
      <c r="M5" s="34">
        <f t="shared" si="2" ref="M5:M28">60000*((1-(1/(1+((1+I5)/(1+J5)-1)))^(90-F5))/((1+I5)/(1+J5)-1))</f>
        <v>1176818.24432898</v>
      </c>
      <c r="N5" s="34">
        <f t="shared" si="3" ref="N5:N28">L5-M5</f>
        <v>-575739.05939442</v>
      </c>
    </row>
    <row r="6" ht="15" customHeight="1">
      <c r="B6" s="36" t="s">
        <v>54</v>
      </c>
      <c r="C6" s="36" t="s">
        <v>52</v>
      </c>
      <c r="D6" s="36" t="s">
        <v>53</v>
      </c>
      <c r="E6" s="36">
        <v>28</v>
      </c>
      <c r="F6" s="36">
        <v>65</v>
      </c>
      <c r="G6" s="37">
        <v>30000</v>
      </c>
      <c r="H6" s="37">
        <v>10000</v>
      </c>
      <c r="I6" s="38">
        <v>0.04</v>
      </c>
      <c r="J6" s="38">
        <v>0.025</v>
      </c>
      <c r="K6" s="36">
        <f t="shared" si="0"/>
        <v>37</v>
      </c>
      <c r="L6" s="37">
        <f t="shared" si="1"/>
        <v>565867.852646184</v>
      </c>
      <c r="M6" s="37">
        <f t="shared" si="2"/>
        <v>1248673.11494712</v>
      </c>
      <c r="N6" s="37">
        <f t="shared" si="3"/>
        <v>-682805.262300936</v>
      </c>
    </row>
    <row r="7" ht="15" customHeight="1">
      <c r="B7" s="33" t="s">
        <v>55</v>
      </c>
      <c r="C7" s="33" t="s">
        <v>52</v>
      </c>
      <c r="D7" s="33" t="s">
        <v>53</v>
      </c>
      <c r="E7" s="33">
        <v>30</v>
      </c>
      <c r="F7" s="33">
        <v>65</v>
      </c>
      <c r="G7" s="34">
        <v>50000</v>
      </c>
      <c r="H7" s="34">
        <v>15000</v>
      </c>
      <c r="I7" s="35">
        <v>0.045</v>
      </c>
      <c r="J7" s="35">
        <v>0.025</v>
      </c>
      <c r="K7" s="33">
        <f t="shared" si="0"/>
        <v>35</v>
      </c>
      <c r="L7" s="34">
        <f t="shared" si="1"/>
        <v>879339.367032711</v>
      </c>
      <c r="M7" s="34">
        <f t="shared" si="2"/>
        <v>1178143.42742005</v>
      </c>
      <c r="N7" s="34">
        <f t="shared" si="3"/>
        <v>-298804.060387339</v>
      </c>
    </row>
    <row r="8" ht="15" customHeight="1">
      <c r="B8" s="36" t="s">
        <v>56</v>
      </c>
      <c r="C8" s="36" t="s">
        <v>52</v>
      </c>
      <c r="D8" s="36" t="s">
        <v>53</v>
      </c>
      <c r="E8" s="36">
        <v>32</v>
      </c>
      <c r="F8" s="36">
        <v>67</v>
      </c>
      <c r="G8" s="37">
        <v>40000</v>
      </c>
      <c r="H8" s="37">
        <v>12000</v>
      </c>
      <c r="I8" s="38">
        <v>0.04</v>
      </c>
      <c r="J8" s="38">
        <v>0.03</v>
      </c>
      <c r="K8" s="36">
        <f t="shared" si="0"/>
        <v>35</v>
      </c>
      <c r="L8" s="37">
        <f t="shared" si="1"/>
        <v>538944.398373476</v>
      </c>
      <c r="M8" s="37">
        <f t="shared" si="2"/>
        <v>1231451.40477365</v>
      </c>
      <c r="N8" s="37">
        <f t="shared" si="3"/>
        <v>-692507.006400174</v>
      </c>
    </row>
    <row r="9" ht="15" customHeight="1">
      <c r="B9" s="33" t="s">
        <v>57</v>
      </c>
      <c r="C9" s="33" t="s">
        <v>52</v>
      </c>
      <c r="D9" s="33" t="s">
        <v>58</v>
      </c>
      <c r="E9" s="33">
        <v>38</v>
      </c>
      <c r="F9" s="33">
        <v>65</v>
      </c>
      <c r="G9" s="34">
        <v>80000</v>
      </c>
      <c r="H9" s="34">
        <v>12000</v>
      </c>
      <c r="I9" s="35">
        <v>0.04</v>
      </c>
      <c r="J9" s="35">
        <v>0.025</v>
      </c>
      <c r="K9" s="33">
        <f t="shared" si="0"/>
        <v>27</v>
      </c>
      <c r="L9" s="34">
        <f t="shared" si="1"/>
        <v>526319.417362879</v>
      </c>
      <c r="M9" s="34">
        <f t="shared" si="2"/>
        <v>1248673.11494712</v>
      </c>
      <c r="N9" s="34">
        <f t="shared" si="3"/>
        <v>-722353.697584241</v>
      </c>
    </row>
    <row r="10" ht="15" customHeight="1">
      <c r="B10" s="36" t="s">
        <v>59</v>
      </c>
      <c r="C10" s="36" t="s">
        <v>52</v>
      </c>
      <c r="D10" s="36" t="s">
        <v>58</v>
      </c>
      <c r="E10" s="36">
        <v>40</v>
      </c>
      <c r="F10" s="36">
        <v>67</v>
      </c>
      <c r="G10" s="37">
        <v>120000</v>
      </c>
      <c r="H10" s="37">
        <v>18000</v>
      </c>
      <c r="I10" s="38">
        <v>0.045</v>
      </c>
      <c r="J10" s="38">
        <v>0.025</v>
      </c>
      <c r="K10" s="36">
        <f t="shared" si="0"/>
        <v>27</v>
      </c>
      <c r="L10" s="37">
        <f t="shared" si="1"/>
        <v>855686.312775897</v>
      </c>
      <c r="M10" s="37">
        <f t="shared" si="2"/>
        <v>1103397.57413767</v>
      </c>
      <c r="N10" s="37">
        <f t="shared" si="3"/>
        <v>-247711.261361773</v>
      </c>
    </row>
    <row r="11" ht="15" customHeight="1">
      <c r="B11" s="33" t="s">
        <v>60</v>
      </c>
      <c r="C11" s="33" t="s">
        <v>52</v>
      </c>
      <c r="D11" s="33" t="s">
        <v>58</v>
      </c>
      <c r="E11" s="33">
        <v>42</v>
      </c>
      <c r="F11" s="33">
        <v>65</v>
      </c>
      <c r="G11" s="34">
        <v>150000</v>
      </c>
      <c r="H11" s="34">
        <v>15000</v>
      </c>
      <c r="I11" s="35">
        <v>0.04</v>
      </c>
      <c r="J11" s="35">
        <v>0.03</v>
      </c>
      <c r="K11" s="33">
        <f t="shared" si="0"/>
        <v>23</v>
      </c>
      <c r="L11" s="34">
        <f t="shared" si="1"/>
        <v>560604.196114516</v>
      </c>
      <c r="M11" s="34">
        <f t="shared" si="2"/>
        <v>1326158.27970078</v>
      </c>
      <c r="N11" s="34">
        <f t="shared" si="3"/>
        <v>-765554.083586264</v>
      </c>
    </row>
    <row r="12" ht="15" customHeight="1">
      <c r="B12" s="36" t="s">
        <v>61</v>
      </c>
      <c r="C12" s="36" t="s">
        <v>52</v>
      </c>
      <c r="D12" s="36" t="s">
        <v>58</v>
      </c>
      <c r="E12" s="36">
        <v>45</v>
      </c>
      <c r="F12" s="36">
        <v>67</v>
      </c>
      <c r="G12" s="37">
        <v>200000</v>
      </c>
      <c r="H12" s="37">
        <v>20000</v>
      </c>
      <c r="I12" s="38">
        <v>0.045</v>
      </c>
      <c r="J12" s="38">
        <v>0.025</v>
      </c>
      <c r="K12" s="36">
        <f t="shared" si="0"/>
        <v>22</v>
      </c>
      <c r="L12" s="37">
        <f t="shared" si="1"/>
        <v>861690.586381064</v>
      </c>
      <c r="M12" s="37">
        <f t="shared" si="2"/>
        <v>1103397.57413767</v>
      </c>
      <c r="N12" s="37">
        <f t="shared" si="3"/>
        <v>-241706.987756606</v>
      </c>
    </row>
    <row r="13" ht="15" customHeight="1">
      <c r="B13" s="33" t="s">
        <v>62</v>
      </c>
      <c r="C13" s="33" t="s">
        <v>63</v>
      </c>
      <c r="D13" s="33" t="s">
        <v>53</v>
      </c>
      <c r="E13" s="33">
        <v>25</v>
      </c>
      <c r="F13" s="33">
        <v>65</v>
      </c>
      <c r="G13" s="34">
        <v>20000</v>
      </c>
      <c r="H13" s="34">
        <v>8000</v>
      </c>
      <c r="I13" s="35">
        <v>0.07</v>
      </c>
      <c r="J13" s="35">
        <v>0.025</v>
      </c>
      <c r="K13" s="33">
        <f t="shared" si="0"/>
        <v>40</v>
      </c>
      <c r="L13" s="34">
        <f t="shared" si="1"/>
        <v>983951.714090313</v>
      </c>
      <c r="M13" s="34">
        <f t="shared" si="2"/>
        <v>899830.177106306</v>
      </c>
      <c r="N13" s="34">
        <f t="shared" si="3"/>
        <v>84121.536984007</v>
      </c>
    </row>
    <row r="14" ht="15" customHeight="1">
      <c r="B14" s="36" t="s">
        <v>64</v>
      </c>
      <c r="C14" s="36" t="s">
        <v>63</v>
      </c>
      <c r="D14" s="36" t="s">
        <v>53</v>
      </c>
      <c r="E14" s="36">
        <v>30</v>
      </c>
      <c r="F14" s="36">
        <v>65</v>
      </c>
      <c r="G14" s="37">
        <v>50000</v>
      </c>
      <c r="H14" s="37">
        <v>12000</v>
      </c>
      <c r="I14" s="38">
        <v>0.07</v>
      </c>
      <c r="J14" s="38">
        <v>0.025</v>
      </c>
      <c r="K14" s="36">
        <f t="shared" si="0"/>
        <v>35</v>
      </c>
      <c r="L14" s="37">
        <f t="shared" si="1"/>
        <v>1218876.81700996</v>
      </c>
      <c r="M14" s="37">
        <f t="shared" si="2"/>
        <v>899830.177106306</v>
      </c>
      <c r="N14" s="37">
        <f t="shared" si="3"/>
        <v>319046.639903654</v>
      </c>
    </row>
    <row r="15" ht="15" customHeight="1">
      <c r="B15" s="33" t="s">
        <v>65</v>
      </c>
      <c r="C15" s="33" t="s">
        <v>63</v>
      </c>
      <c r="D15" s="33" t="s">
        <v>53</v>
      </c>
      <c r="E15" s="33">
        <v>28</v>
      </c>
      <c r="F15" s="33">
        <v>65</v>
      </c>
      <c r="G15" s="34">
        <v>35000</v>
      </c>
      <c r="H15" s="34">
        <v>15000</v>
      </c>
      <c r="I15" s="35">
        <v>0.065</v>
      </c>
      <c r="J15" s="35">
        <v>0.025</v>
      </c>
      <c r="K15" s="33">
        <f t="shared" si="0"/>
        <v>37</v>
      </c>
      <c r="L15" s="34">
        <f t="shared" si="1"/>
        <v>1397918.841658</v>
      </c>
      <c r="M15" s="34">
        <f t="shared" si="2"/>
        <v>947065.719129749</v>
      </c>
      <c r="N15" s="34">
        <f t="shared" si="3"/>
        <v>450853.122528251</v>
      </c>
    </row>
    <row r="16" ht="15" customHeight="1">
      <c r="B16" s="36" t="s">
        <v>66</v>
      </c>
      <c r="C16" s="36" t="s">
        <v>63</v>
      </c>
      <c r="D16" s="36" t="s">
        <v>53</v>
      </c>
      <c r="E16" s="36">
        <v>32</v>
      </c>
      <c r="F16" s="36">
        <v>67</v>
      </c>
      <c r="G16" s="37">
        <v>45000</v>
      </c>
      <c r="H16" s="37">
        <v>14000</v>
      </c>
      <c r="I16" s="38">
        <v>0.07</v>
      </c>
      <c r="J16" s="38">
        <v>0.03</v>
      </c>
      <c r="K16" s="36">
        <f t="shared" si="0"/>
        <v>35</v>
      </c>
      <c r="L16" s="37">
        <f t="shared" si="1"/>
        <v>1148740.5229674</v>
      </c>
      <c r="M16" s="37">
        <f t="shared" si="2"/>
        <v>901782.628139494</v>
      </c>
      <c r="N16" s="37">
        <f t="shared" si="3"/>
        <v>246957.894827906</v>
      </c>
    </row>
    <row r="17" ht="15" customHeight="1">
      <c r="B17" s="33" t="s">
        <v>67</v>
      </c>
      <c r="C17" s="33" t="s">
        <v>63</v>
      </c>
      <c r="D17" s="33" t="s">
        <v>58</v>
      </c>
      <c r="E17" s="33">
        <v>38</v>
      </c>
      <c r="F17" s="33">
        <v>65</v>
      </c>
      <c r="G17" s="34">
        <v>100000</v>
      </c>
      <c r="H17" s="34">
        <v>15000</v>
      </c>
      <c r="I17" s="35">
        <v>0.065</v>
      </c>
      <c r="J17" s="35">
        <v>0.025</v>
      </c>
      <c r="K17" s="33">
        <f t="shared" si="0"/>
        <v>27</v>
      </c>
      <c r="L17" s="34">
        <f t="shared" si="1"/>
        <v>997184.50361414</v>
      </c>
      <c r="M17" s="34">
        <f t="shared" si="2"/>
        <v>947065.719129749</v>
      </c>
      <c r="N17" s="34">
        <f t="shared" si="3"/>
        <v>50118.784484391</v>
      </c>
    </row>
    <row r="18" ht="15" customHeight="1">
      <c r="B18" s="36" t="s">
        <v>68</v>
      </c>
      <c r="C18" s="36" t="s">
        <v>63</v>
      </c>
      <c r="D18" s="36" t="s">
        <v>58</v>
      </c>
      <c r="E18" s="36">
        <v>40</v>
      </c>
      <c r="F18" s="36">
        <v>67</v>
      </c>
      <c r="G18" s="37">
        <v>150000</v>
      </c>
      <c r="H18" s="37">
        <v>20000</v>
      </c>
      <c r="I18" s="38">
        <v>0.07</v>
      </c>
      <c r="J18" s="38">
        <v>0.025</v>
      </c>
      <c r="K18" s="36">
        <f t="shared" si="0"/>
        <v>27</v>
      </c>
      <c r="L18" s="37">
        <f t="shared" si="1"/>
        <v>1503424.08306425</v>
      </c>
      <c r="M18" s="37">
        <f t="shared" si="2"/>
        <v>857939.864146589</v>
      </c>
      <c r="N18" s="37">
        <f t="shared" si="3"/>
        <v>645484.218917661</v>
      </c>
    </row>
    <row r="19" ht="15" customHeight="1">
      <c r="B19" s="33" t="s">
        <v>69</v>
      </c>
      <c r="C19" s="33" t="s">
        <v>63</v>
      </c>
      <c r="D19" s="33" t="s">
        <v>58</v>
      </c>
      <c r="E19" s="33">
        <v>42</v>
      </c>
      <c r="F19" s="33">
        <v>65</v>
      </c>
      <c r="G19" s="34">
        <v>180000</v>
      </c>
      <c r="H19" s="34">
        <v>18000</v>
      </c>
      <c r="I19" s="35">
        <v>0.065</v>
      </c>
      <c r="J19" s="35">
        <v>0.03</v>
      </c>
      <c r="K19" s="33">
        <f t="shared" si="0"/>
        <v>23</v>
      </c>
      <c r="L19" s="34">
        <f t="shared" si="1"/>
        <v>983063.295918324</v>
      </c>
      <c r="M19" s="34">
        <f t="shared" si="2"/>
        <v>999922.234740536</v>
      </c>
      <c r="N19" s="34">
        <f t="shared" si="3"/>
        <v>-16858.9388222119</v>
      </c>
    </row>
    <row r="20" ht="15" customHeight="1">
      <c r="B20" s="36" t="s">
        <v>70</v>
      </c>
      <c r="C20" s="36" t="s">
        <v>63</v>
      </c>
      <c r="D20" s="36" t="s">
        <v>58</v>
      </c>
      <c r="E20" s="36">
        <v>45</v>
      </c>
      <c r="F20" s="36">
        <v>67</v>
      </c>
      <c r="G20" s="37">
        <v>250000</v>
      </c>
      <c r="H20" s="37">
        <v>25000</v>
      </c>
      <c r="I20" s="38">
        <v>0.07</v>
      </c>
      <c r="J20" s="38">
        <v>0.025</v>
      </c>
      <c r="K20" s="36">
        <f t="shared" si="0"/>
        <v>22</v>
      </c>
      <c r="L20" s="37">
        <f t="shared" si="1"/>
        <v>1556157.8780239</v>
      </c>
      <c r="M20" s="37">
        <f t="shared" si="2"/>
        <v>857939.864146589</v>
      </c>
      <c r="N20" s="37">
        <f t="shared" si="3"/>
        <v>698218.013877311</v>
      </c>
    </row>
    <row r="21" ht="15" customHeight="1">
      <c r="B21" s="33" t="s">
        <v>71</v>
      </c>
      <c r="C21" s="33" t="s">
        <v>72</v>
      </c>
      <c r="D21" s="33" t="s">
        <v>53</v>
      </c>
      <c r="E21" s="33">
        <v>25</v>
      </c>
      <c r="F21" s="33">
        <v>65</v>
      </c>
      <c r="G21" s="34">
        <v>20000</v>
      </c>
      <c r="H21" s="34">
        <v>8000</v>
      </c>
      <c r="I21" s="35">
        <v>0.1</v>
      </c>
      <c r="J21" s="35">
        <v>0.025</v>
      </c>
      <c r="K21" s="33">
        <f t="shared" si="0"/>
        <v>40</v>
      </c>
      <c r="L21" s="34">
        <f t="shared" si="1"/>
        <v>2124667.22815328</v>
      </c>
      <c r="M21" s="34">
        <f t="shared" si="2"/>
        <v>679688.470682319</v>
      </c>
      <c r="N21" s="34">
        <f t="shared" si="3"/>
        <v>1444978.75747096</v>
      </c>
    </row>
    <row r="22" ht="15" customHeight="1">
      <c r="B22" s="36" t="s">
        <v>73</v>
      </c>
      <c r="C22" s="36" t="s">
        <v>72</v>
      </c>
      <c r="D22" s="36" t="s">
        <v>53</v>
      </c>
      <c r="E22" s="36">
        <v>30</v>
      </c>
      <c r="F22" s="36">
        <v>65</v>
      </c>
      <c r="G22" s="37">
        <v>50000</v>
      </c>
      <c r="H22" s="37">
        <v>12000</v>
      </c>
      <c r="I22" s="38">
        <v>0.1</v>
      </c>
      <c r="J22" s="38">
        <v>0.03</v>
      </c>
      <c r="K22" s="36">
        <f t="shared" si="0"/>
        <v>35</v>
      </c>
      <c r="L22" s="37">
        <f t="shared" si="1"/>
        <v>2040009.45933273</v>
      </c>
      <c r="M22" s="37">
        <f t="shared" si="2"/>
        <v>712247.362544658</v>
      </c>
      <c r="N22" s="37">
        <f t="shared" si="3"/>
        <v>1327762.09678807</v>
      </c>
    </row>
    <row r="23" ht="15" customHeight="1">
      <c r="B23" s="33" t="s">
        <v>74</v>
      </c>
      <c r="C23" s="33" t="s">
        <v>72</v>
      </c>
      <c r="D23" s="33" t="s">
        <v>53</v>
      </c>
      <c r="E23" s="33">
        <v>28</v>
      </c>
      <c r="F23" s="33">
        <v>65</v>
      </c>
      <c r="G23" s="34">
        <v>30000</v>
      </c>
      <c r="H23" s="34">
        <v>15000</v>
      </c>
      <c r="I23" s="35">
        <v>0.095</v>
      </c>
      <c r="J23" s="35">
        <v>0.025</v>
      </c>
      <c r="K23" s="33">
        <f t="shared" si="0"/>
        <v>37</v>
      </c>
      <c r="L23" s="34">
        <f t="shared" si="1"/>
        <v>2728368.29810695</v>
      </c>
      <c r="M23" s="34">
        <f t="shared" si="2"/>
        <v>710102.144163953</v>
      </c>
      <c r="N23" s="34">
        <f t="shared" si="3"/>
        <v>2018266.153943</v>
      </c>
    </row>
    <row r="24" ht="15" customHeight="1">
      <c r="B24" s="36" t="s">
        <v>75</v>
      </c>
      <c r="C24" s="36" t="s">
        <v>72</v>
      </c>
      <c r="D24" s="36" t="s">
        <v>53</v>
      </c>
      <c r="E24" s="36">
        <v>32</v>
      </c>
      <c r="F24" s="36">
        <v>67</v>
      </c>
      <c r="G24" s="37">
        <v>60000</v>
      </c>
      <c r="H24" s="37">
        <v>14000</v>
      </c>
      <c r="I24" s="38">
        <v>0.1</v>
      </c>
      <c r="J24" s="38">
        <v>0.03</v>
      </c>
      <c r="K24" s="36">
        <f t="shared" si="0"/>
        <v>35</v>
      </c>
      <c r="L24" s="37">
        <f t="shared" si="1"/>
        <v>2396656.26837779</v>
      </c>
      <c r="M24" s="37">
        <f t="shared" si="2"/>
        <v>688269.684870427</v>
      </c>
      <c r="N24" s="37">
        <f t="shared" si="3"/>
        <v>1708386.58350736</v>
      </c>
    </row>
    <row r="25" ht="15" customHeight="1">
      <c r="B25" s="33" t="s">
        <v>76</v>
      </c>
      <c r="C25" s="33" t="s">
        <v>72</v>
      </c>
      <c r="D25" s="33" t="s">
        <v>58</v>
      </c>
      <c r="E25" s="33">
        <v>38</v>
      </c>
      <c r="F25" s="33">
        <v>65</v>
      </c>
      <c r="G25" s="34">
        <v>120000</v>
      </c>
      <c r="H25" s="34">
        <v>15000</v>
      </c>
      <c r="I25" s="35">
        <v>0.095</v>
      </c>
      <c r="J25" s="35">
        <v>0.025</v>
      </c>
      <c r="K25" s="33">
        <f t="shared" si="0"/>
        <v>27</v>
      </c>
      <c r="L25" s="34">
        <f t="shared" si="1"/>
        <v>1824481.79025976</v>
      </c>
      <c r="M25" s="34">
        <f t="shared" si="2"/>
        <v>710102.144163953</v>
      </c>
      <c r="N25" s="34">
        <f t="shared" si="3"/>
        <v>1114379.64609581</v>
      </c>
    </row>
    <row r="26" ht="15" customHeight="1">
      <c r="B26" s="36" t="s">
        <v>77</v>
      </c>
      <c r="C26" s="36" t="s">
        <v>72</v>
      </c>
      <c r="D26" s="36" t="s">
        <v>58</v>
      </c>
      <c r="E26" s="36">
        <v>40</v>
      </c>
      <c r="F26" s="36">
        <v>67</v>
      </c>
      <c r="G26" s="37">
        <v>180000</v>
      </c>
      <c r="H26" s="37">
        <v>22000</v>
      </c>
      <c r="I26" s="38">
        <v>0.1</v>
      </c>
      <c r="J26" s="38">
        <v>0.03</v>
      </c>
      <c r="K26" s="36">
        <f t="shared" si="0"/>
        <v>27</v>
      </c>
      <c r="L26" s="37">
        <f t="shared" si="1"/>
        <v>2602976.66218917</v>
      </c>
      <c r="M26" s="37">
        <f t="shared" si="2"/>
        <v>688269.684870427</v>
      </c>
      <c r="N26" s="37">
        <f t="shared" si="3"/>
        <v>1914706.97731874</v>
      </c>
    </row>
    <row r="27" ht="15" customHeight="1">
      <c r="B27" s="33" t="s">
        <v>78</v>
      </c>
      <c r="C27" s="33" t="s">
        <v>72</v>
      </c>
      <c r="D27" s="33" t="s">
        <v>58</v>
      </c>
      <c r="E27" s="33">
        <v>42</v>
      </c>
      <c r="F27" s="33">
        <v>65</v>
      </c>
      <c r="G27" s="34">
        <v>200000</v>
      </c>
      <c r="H27" s="34">
        <v>20000</v>
      </c>
      <c r="I27" s="35">
        <v>0.095</v>
      </c>
      <c r="J27" s="35">
        <v>0.025</v>
      </c>
      <c r="K27" s="33">
        <f t="shared" si="0"/>
        <v>23</v>
      </c>
      <c r="L27" s="34">
        <f t="shared" si="1"/>
        <v>1975807.13809529</v>
      </c>
      <c r="M27" s="34">
        <f t="shared" si="2"/>
        <v>710102.144163953</v>
      </c>
      <c r="N27" s="34">
        <f t="shared" si="3"/>
        <v>1265704.99393134</v>
      </c>
    </row>
    <row r="28" ht="15" customHeight="1">
      <c r="B28" s="36" t="s">
        <v>79</v>
      </c>
      <c r="C28" s="36" t="s">
        <v>72</v>
      </c>
      <c r="D28" s="36" t="s">
        <v>58</v>
      </c>
      <c r="E28" s="36">
        <v>45</v>
      </c>
      <c r="F28" s="36">
        <v>67</v>
      </c>
      <c r="G28" s="37">
        <v>300000</v>
      </c>
      <c r="H28" s="37">
        <v>30000</v>
      </c>
      <c r="I28" s="38">
        <v>0.1</v>
      </c>
      <c r="J28" s="38">
        <v>0.025</v>
      </c>
      <c r="K28" s="36">
        <f t="shared" si="0"/>
        <v>22</v>
      </c>
      <c r="L28" s="37">
        <f t="shared" si="1"/>
        <v>2967977.14750452</v>
      </c>
      <c r="M28" s="37">
        <f t="shared" si="2"/>
        <v>658403.85439677</v>
      </c>
      <c r="N28" s="37">
        <f t="shared" si="3"/>
        <v>2309573.29310775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7209A14-2B98-6B65-E27F-953F989DC5A1}" mc:Ignorable="x14ac xr xr2 xr3">
  <dimension ref="A1:CV10000"/>
  <sheetViews>
    <sheetView showGridLines="0" topLeftCell="B1" workbookViewId="0">
      <selection activeCell="A1" sqref="A1"/>
    </sheetView>
  </sheetViews>
  <sheetFormatPr defaultRowHeight="15" defaultColWidth="7.75390625" customHeight="1"/>
  <cols>
    <col min="2" max="2" width="15.125" customWidth="1"/>
    <col min="3" max="3" width="14.875" customWidth="1"/>
    <col min="4" max="9" width="20.125" customWidth="1"/>
  </cols>
  <sheetData>
    <row r="1" ht="18.75" customHeight="1">
      <c r="B1" s="39" t="s">
        <v>80</v>
      </c>
    </row>
    <row r="2" ht="17.25" customHeight="1">
      <c r="B2" t="s">
        <v>42</v>
      </c>
      <c r="C2" t="s">
        <v>43</v>
      </c>
      <c r="D2" s="30" t="s">
        <v>81</v>
      </c>
      <c r="E2" s="30" t="s">
        <v>82</v>
      </c>
      <c r="F2" s="30" t="s">
        <v>83</v>
      </c>
      <c r="G2" s="30" t="s">
        <v>84</v>
      </c>
      <c r="H2" s="30" t="s">
        <v>85</v>
      </c>
      <c r="I2" s="29" t="s">
        <v>86</v>
      </c>
    </row>
    <row r="3" ht="17.25" customHeight="1">
      <c r="B3" t="s">
        <v>72</v>
      </c>
      <c r="C3" t="s">
        <v>58</v>
      </c>
      <c r="D3" s="30">
        <v>2342810.6845122</v>
      </c>
      <c r="E3" s="30">
        <v>691719.45689878</v>
      </c>
      <c r="F3" s="30">
        <v>1651091.2276134</v>
      </c>
      <c r="G3" s="30">
        <v>2309573.2931077</v>
      </c>
      <c r="H3" s="30">
        <v>1114379.6460958</v>
      </c>
      <c r="I3" s="29">
        <v>4</v>
      </c>
    </row>
    <row r="4" ht="15" customHeight="1">
      <c r="B4"/>
      <c r="C4" t="s">
        <v>53</v>
      </c>
      <c r="D4" s="30">
        <v>2322425.3134927</v>
      </c>
      <c r="E4" s="30">
        <v>697576.91556534</v>
      </c>
      <c r="F4" s="30">
        <v>1624848.3979273</v>
      </c>
      <c r="G4" s="30">
        <v>2018266.153943</v>
      </c>
      <c r="H4" s="30">
        <v>1327762.0967881</v>
      </c>
      <c r="I4" s="29">
        <v>4</v>
      </c>
    </row>
    <row r="5" ht="15" customHeight="1">
      <c r="B5" t="s">
        <v>87</v>
      </c>
      <c r="C5"/>
      <c r="D5" s="30">
        <v>2332617.9990024</v>
      </c>
      <c r="E5" s="30">
        <v>694648.18623206</v>
      </c>
      <c r="F5" s="30">
        <v>1637969.8127704</v>
      </c>
      <c r="G5" s="30">
        <v>2309573.2931077</v>
      </c>
      <c r="H5" s="30">
        <v>1114379.6460958</v>
      </c>
      <c r="I5" s="29">
        <v>8</v>
      </c>
    </row>
    <row r="6" ht="17.25" customHeight="1">
      <c r="B6" t="s">
        <v>63</v>
      </c>
      <c r="C6" t="s">
        <v>58</v>
      </c>
      <c r="D6" s="30">
        <v>1259957.4401552</v>
      </c>
      <c r="E6" s="30">
        <v>915716.92054087</v>
      </c>
      <c r="F6" s="30">
        <v>344240.51961429</v>
      </c>
      <c r="G6" s="30">
        <v>698218.01387731</v>
      </c>
      <c r="H6" s="30">
        <v>-16858.938822212</v>
      </c>
      <c r="I6" s="29">
        <v>4</v>
      </c>
    </row>
    <row r="7" ht="15" customHeight="1">
      <c r="B7"/>
      <c r="C7" t="s">
        <v>53</v>
      </c>
      <c r="D7" s="30">
        <v>1187371.9739314</v>
      </c>
      <c r="E7" s="30">
        <v>912127.17537046</v>
      </c>
      <c r="F7" s="30">
        <v>275244.79856095</v>
      </c>
      <c r="G7" s="30">
        <v>450853.12252825</v>
      </c>
      <c r="H7" s="30">
        <v>84121.536984007</v>
      </c>
      <c r="I7" s="29">
        <v>4</v>
      </c>
    </row>
    <row r="8" ht="15" customHeight="1">
      <c r="B8" t="s">
        <v>88</v>
      </c>
      <c r="C8"/>
      <c r="D8" s="30">
        <v>1223664.7070433</v>
      </c>
      <c r="E8" s="30">
        <v>913922.04795566</v>
      </c>
      <c r="F8" s="30">
        <v>309742.65908762</v>
      </c>
      <c r="G8" s="30">
        <v>698218.01387731</v>
      </c>
      <c r="H8" s="30">
        <v>-16858.938822212</v>
      </c>
      <c r="I8" s="29">
        <v>8</v>
      </c>
    </row>
    <row r="9" ht="17.25" customHeight="1">
      <c r="B9" t="s">
        <v>52</v>
      </c>
      <c r="C9" t="s">
        <v>58</v>
      </c>
      <c r="D9" s="30">
        <v>701075.12815859</v>
      </c>
      <c r="E9" s="30">
        <v>1195406.6357308</v>
      </c>
      <c r="F9" s="30">
        <v>-494331.50757222</v>
      </c>
      <c r="G9" s="30">
        <v>-241706.98775661</v>
      </c>
      <c r="H9" s="30">
        <v>-765554.08358626</v>
      </c>
      <c r="I9" s="29">
        <v>4</v>
      </c>
    </row>
    <row r="10" ht="15" customHeight="1">
      <c r="B10"/>
      <c r="C10" t="s">
        <v>53</v>
      </c>
      <c r="D10" s="30">
        <v>646307.70074673</v>
      </c>
      <c r="E10" s="30">
        <v>1208771.5478674</v>
      </c>
      <c r="F10" s="30">
        <v>-562463.84712072</v>
      </c>
      <c r="G10" s="30">
        <v>-298804.06038734</v>
      </c>
      <c r="H10" s="30">
        <v>-692507.00640017</v>
      </c>
      <c r="I10" s="29">
        <v>4</v>
      </c>
    </row>
    <row r="11" ht="15" customHeight="1">
      <c r="B11" t="s">
        <v>89</v>
      </c>
      <c r="C11"/>
      <c r="D11" s="30">
        <v>673691.41445266</v>
      </c>
      <c r="E11" s="30">
        <v>1202089.0917991</v>
      </c>
      <c r="F11" s="30">
        <v>-528397.67734647</v>
      </c>
      <c r="G11" s="30">
        <v>-241706.98775661</v>
      </c>
      <c r="H11" s="30">
        <v>-765554.08358626</v>
      </c>
      <c r="I11" s="29">
        <v>8</v>
      </c>
    </row>
    <row r="12" ht="15" customHeight="1">
      <c r="B12" t="s">
        <v>90</v>
      </c>
      <c r="C12"/>
      <c r="D12" s="30">
        <v>1409991.3734995</v>
      </c>
      <c r="E12" s="30">
        <v>936886.44199562</v>
      </c>
      <c r="F12" s="30">
        <v>473104.93150384</v>
      </c>
      <c r="G12" s="30">
        <v>2309573.2931077</v>
      </c>
      <c r="H12" s="30">
        <v>-765554.08358626</v>
      </c>
      <c r="I12" s="29">
        <v>24</v>
      </c>
    </row>
    <row r="13" ht="15" customHeight="1">
      <c r="D13" s="30"/>
      <c r="E13" s="30"/>
      <c r="F13" s="30"/>
      <c r="G13" s="30"/>
      <c r="H13" s="30"/>
      <c r="I13" s="29"/>
    </row>
    <row r="14" ht="15" customHeight="1">
      <c r="D14" s="30"/>
      <c r="E14" s="30"/>
      <c r="F14" s="30"/>
      <c r="G14" s="30"/>
      <c r="H14" s="30"/>
      <c r="I14" s="29"/>
    </row>
    <row r="15" ht="15" customHeight="1">
      <c r="D15" s="30"/>
      <c r="E15" s="30"/>
      <c r="F15" s="30"/>
      <c r="G15" s="30"/>
      <c r="H15" s="30"/>
      <c r="I15" s="29"/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Shortcut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</dc:creator>
  <cp:lastModifiedBy>Shortcut</cp:lastModifiedBy>
  <dcterms:created xsi:type="dcterms:W3CDTF">2025-05-22T23:41:35Z</dcterms:created>
  <dcterms:modified xsi:type="dcterms:W3CDTF">2025-05-22T23:45:09Z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5963e471-8ee3-4a64-9ae9-50a5c0adaee7</vt:lpwstr>
  </property>
</Properties>
</file>